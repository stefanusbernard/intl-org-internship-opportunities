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Organisations" sheetId="2" state="visible" r:id="rId4"/>
    <sheet name="Opportunities" sheetId="3" state="visible" r:id="rId5"/>
    <sheet name="Places" sheetId="4" state="visible" r:id="rId6"/>
    <sheet name="About" sheetId="5" state="visible" r:id="rId7"/>
    <sheet name="Seed list" sheetId="6" state="visible" r:id="rId8"/>
    <sheet name="Summary" sheetId="7" state="visible" r:id="rId9"/>
  </sheets>
  <definedNames>
    <definedName function="false" hidden="true" localSheetId="2" name="_xlnm._FilterDatabase" vbProcedure="false">Opportunities!$A$1:$Z$129</definedName>
    <definedName function="false" hidden="true" localSheetId="1" name="_xlnm._FilterDatabase" vbProcedure="false">Organisations!$A$1:$Q$128</definedName>
    <definedName function="false" hidden="true" localSheetId="3" name="_xlnm._FilterDatabase" vbProcedure="false">Places!$A$1:$F$19</definedName>
    <definedName function="false" hidden="true" localSheetId="5" name="_xlnm._FilterDatabase" vbProcedure="false">'Seed list'!$A$1:$E$33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<sst xmlns="http://schemas.openxmlformats.org/spreadsheetml/2006/main" count="4709" uniqueCount="1981">
  <si>
    <t xml:space="preserve">International Organisation Visiting Opportunities — database (v3, 9 October 2026)</t>
  </si>
  <si>
    <t xml:space="preserve">The site reads four sheets: Organisations, Opportunities, Places, About. Edit only these. Seed list and Summary are reference only.</t>
  </si>
  <si>
    <t xml:space="preserve">Rules</t>
  </si>
  <si>
    <t xml:space="preserve">• One row per record. Never delete a row: to retire a record set verification_status = Excluded and give the reason in status_reasons.</t>
  </si>
  <si>
    <t xml:space="preserve">• verification_status: Verified = confirmed on an official page (source_official = Yes); Unverified = shown with a label, status_reasons names the missing detail; Excluded = hidden.</t>
  </si>
  <si>
    <t xml:space="preserve">• funding_amount only when the official source states it; otherwise leave it blank (the site shows "amount not stated"). Secondary figures go in funding_note, labelled "reported".</t>
  </si>
  <si>
    <t xml:space="preserve">• duration_max_weeks: 26 or less for Verified/Unverified. host_city must match a city in the Places sheet.</t>
  </si>
  <si>
    <t xml:space="preserve">• org_id must exist in Organisations. IDs never change once used. New opportunity IDs: next EU-### number.</t>
  </si>
  <si>
    <t xml:space="preserve">• Dates as YYYY-MM-DD. Update last_checked whenever you confirm a record.</t>
  </si>
  <si>
    <t xml:space="preserve">• Research visit = opportunity_type Fellowship, Travel grant, PhD visit or Visiting researcher.</t>
  </si>
  <si>
    <t xml:space="preserve">Publishing: save, commit and push data/database.xlsx; GitHub Actions renders the site; then open the Data checks page and confirm no flagged rows.</t>
  </si>
  <si>
    <t xml:space="preserve">Full step-by-step guide: PRD v2, section "Maintainer guide: updating the database".</t>
  </si>
  <si>
    <t xml:space="preserve">org_id</t>
  </si>
  <si>
    <t xml:space="preserve">name</t>
  </si>
  <si>
    <t xml:space="preserve">org_type</t>
  </si>
  <si>
    <t xml:space="preserve">country</t>
  </si>
  <si>
    <t xml:space="preserve">city</t>
  </si>
  <si>
    <t xml:space="preserve">website</t>
  </si>
  <si>
    <t xml:space="preserve">official_domains</t>
  </si>
  <si>
    <t xml:space="preserve">careers_page</t>
  </si>
  <si>
    <t xml:space="preserve">contact_page</t>
  </si>
  <si>
    <t xml:space="preserve">contact_type</t>
  </si>
  <si>
    <t xml:space="preserve">visa_exempt</t>
  </si>
  <si>
    <t xml:space="preserve">visa_scope</t>
  </si>
  <si>
    <t xml:space="preserve">visa_note</t>
  </si>
  <si>
    <t xml:space="preserve">visa_source_url</t>
  </si>
  <si>
    <t xml:space="preserve">seed_source</t>
  </si>
  <si>
    <t xml:space="preserve">last_checked</t>
  </si>
  <si>
    <t xml:space="preserve">notes</t>
  </si>
  <si>
    <t xml:space="preserve">bank-for-international-settlements</t>
  </si>
  <si>
    <t xml:space="preserve">Bank for International Settlements (BIS)</t>
  </si>
  <si>
    <t xml:space="preserve">Intergovernmental</t>
  </si>
  <si>
    <t xml:space="preserve">United Kingdom</t>
  </si>
  <si>
    <t xml:space="preserve">London (verify)</t>
  </si>
  <si>
    <t xml:space="preserve">https://www.bis.org</t>
  </si>
  <si>
    <t xml:space="preserve">bis.org</t>
  </si>
  <si>
    <t xml:space="preserve">https://www.bis.org/careers</t>
  </si>
  <si>
    <t xml:space="preserve">Not stated</t>
  </si>
  <si>
    <t xml:space="preserve">UKVI list (7 Jan 2026)</t>
  </si>
  <si>
    <t xml:space="preserve">2026-10-07</t>
  </si>
  <si>
    <t xml:space="preserve">HQ Basel</t>
  </si>
  <si>
    <t xml:space="preserve">cab-international</t>
  </si>
  <si>
    <t xml:space="preserve">CAB International (CABI)</t>
  </si>
  <si>
    <t xml:space="preserve">Wallingford</t>
  </si>
  <si>
    <t xml:space="preserve">https://www.cabi.org</t>
  </si>
  <si>
    <t xml:space="preserve">cabi.org</t>
  </si>
  <si>
    <t xml:space="preserve">https://www.cabi.org/careers</t>
  </si>
  <si>
    <t xml:space="preserve">mailto:cabi@cabi.org</t>
  </si>
  <si>
    <t xml:space="preserve">programme or general inbox</t>
  </si>
  <si>
    <t xml:space="preserve">commonwealth-foundation</t>
  </si>
  <si>
    <t xml:space="preserve">Commonwealth Foundation</t>
  </si>
  <si>
    <t xml:space="preserve">London</t>
  </si>
  <si>
    <t xml:space="preserve">https://commonwealthfoundation.com</t>
  </si>
  <si>
    <t xml:space="preserve">commonwealthfoundation.com</t>
  </si>
  <si>
    <t xml:space="preserve">https://commonwealthfoundation.com/job_vacancy/intern-knowledge-learning-and-communications/</t>
  </si>
  <si>
    <t xml:space="preserve">No</t>
  </si>
  <si>
    <t xml:space="preserve">United Kingdom (London office)</t>
  </si>
  <si>
    <t xml:space="preserve">https://www.gov.uk/government/publications/exempt-exm/list-of-international-organisations-whose-employees-qualify-for-exempt-entry-clearances-accessible-version</t>
  </si>
  <si>
    <t xml:space="preserve">Programmes may be limited to Commonwealth citizens; Intern notices: Commonwealth citizens without an appropriate visa have no automatic right to work in the UK</t>
  </si>
  <si>
    <t xml:space="preserve">commonwealth-secretariat</t>
  </si>
  <si>
    <t xml:space="preserve">Commonwealth Secretariat</t>
  </si>
  <si>
    <t xml:space="preserve">https://thecommonwealth.org</t>
  </si>
  <si>
    <t xml:space="preserve">thecommonwealth.org</t>
  </si>
  <si>
    <t xml:space="preserve">https://thecommonwealth.org/work-with-us</t>
  </si>
  <si>
    <t xml:space="preserve">mailto:HQ-Recruitment@commonwealth.int</t>
  </si>
  <si>
    <t xml:space="preserve">Yes</t>
  </si>
  <si>
    <t xml:space="preserve">United Kingdom (UKVI guidance)</t>
  </si>
  <si>
    <t xml:space="preserve">https://www.gov.uk/government/publications/exempt-exm/exemption-from-immigration-control-non-armed-forces-accessible</t>
  </si>
  <si>
    <t xml:space="preserve">Interns named in UKVI guidance; internships may be limited to Commonwealth citizens</t>
  </si>
  <si>
    <t xml:space="preserve">commonwealth-telecommunications-organisa</t>
  </si>
  <si>
    <t xml:space="preserve">Commonwealth Telecommunications Organisation (CTO)</t>
  </si>
  <si>
    <t xml:space="preserve">https://cto.int</t>
  </si>
  <si>
    <t xml:space="preserve">cto.int</t>
  </si>
  <si>
    <t xml:space="preserve">Hosted Commonwealth Professional Fellowships for mid-career professionals in 2015; no current student scheme found</t>
  </si>
  <si>
    <t xml:space="preserve">european-bank-for-reconstruction-and-dev</t>
  </si>
  <si>
    <t xml:space="preserve">European Bank for Reconstruction and Development (EBRD)</t>
  </si>
  <si>
    <t xml:space="preserve">https://www.ebrd.com</t>
  </si>
  <si>
    <t xml:space="preserve">ebrd.com</t>
  </si>
  <si>
    <t xml:space="preserve">https://www.ebrd.com/home/work-with-us/ebrd-careers/ebrd-internships.html</t>
  </si>
  <si>
    <t xml:space="preserve">Interns named in UKVI guidance; check member-country nationality rules</t>
  </si>
  <si>
    <t xml:space="preserve">european-bioinformatics-institute</t>
  </si>
  <si>
    <t xml:space="preserve">European Bioinformatics Institute (EMBL-EBI)</t>
  </si>
  <si>
    <t xml:space="preserve">Hinxton</t>
  </si>
  <si>
    <t xml:space="preserve">https://www.ebi.ac.uk</t>
  </si>
  <si>
    <t xml:space="preserve">ebi.ac.uk, embl.org</t>
  </si>
  <si>
    <t xml:space="preserve">https://www.embl.org/about/info/course-and-conference-office/?p=89346</t>
  </si>
  <si>
    <t xml:space="preserve">mailto:vp@embl.org</t>
  </si>
  <si>
    <t xml:space="preserve">United Kingdom (Hinxton)</t>
  </si>
  <si>
    <t xml:space="preserve">https://www.embl.org/careers/international-applicants/</t>
  </si>
  <si>
    <t xml:space="preserve">EMBL HQ Heidelberg; reference record; Scientific Visitor Programme</t>
  </si>
  <si>
    <t xml:space="preserve">european-centre-for-medium-range-weather</t>
  </si>
  <si>
    <t xml:space="preserve">European Centre for Medium-Range Weather Forecasts (ECMWF)</t>
  </si>
  <si>
    <t xml:space="preserve">Reading</t>
  </si>
  <si>
    <t xml:space="preserve">https://www.ecmwf.int</t>
  </si>
  <si>
    <t xml:space="preserve">ecmwf.int</t>
  </si>
  <si>
    <t xml:space="preserve">https://www.ecmwf.int/en/about/jobs</t>
  </si>
  <si>
    <t xml:space="preserve">mailto:jobs@ecmwf.int</t>
  </si>
  <si>
    <t xml:space="preserve">european-forest-institute</t>
  </si>
  <si>
    <t xml:space="preserve">European Forest Institute (EFI)</t>
  </si>
  <si>
    <t xml:space="preserve">Edinburgh</t>
  </si>
  <si>
    <t xml:space="preserve">https://efi.int</t>
  </si>
  <si>
    <t xml:space="preserve">efi.int</t>
  </si>
  <si>
    <t xml:space="preserve">https://careers.efi.int/o/trainee-on-eu-forest-governance</t>
  </si>
  <si>
    <t xml:space="preserve">https://efi.int/contact</t>
  </si>
  <si>
    <t xml:space="preserve">general contact page</t>
  </si>
  <si>
    <t xml:space="preserve">HQ Joensuu; UK office opened 3 Sept 2026</t>
  </si>
  <si>
    <t xml:space="preserve">european-southern-observatory</t>
  </si>
  <si>
    <t xml:space="preserve">European Southern Observatory (ESO)</t>
  </si>
  <si>
    <t xml:space="preserve">n/a</t>
  </si>
  <si>
    <t xml:space="preserve">https://www.eso.org</t>
  </si>
  <si>
    <t xml:space="preserve">eso.org</t>
  </si>
  <si>
    <t xml:space="preserve">https://www.eso.org/sci/meetings/2025/SummerResearch2025/eligibilitydates.html</t>
  </si>
  <si>
    <t xml:space="preserve">mailto:summerresearch@eso.org</t>
  </si>
  <si>
    <t xml:space="preserve">HQ Garching; no UK site found; ESO is headquartered in Garching with telescopes in Chile; studentships are there, not in the UK</t>
  </si>
  <si>
    <t xml:space="preserve">european-space-agency</t>
  </si>
  <si>
    <t xml:space="preserve">European Space Agency (ESA)</t>
  </si>
  <si>
    <t xml:space="preserve">Harwell (verify)</t>
  </si>
  <si>
    <t xml:space="preserve">https://www.esa.int</t>
  </si>
  <si>
    <t xml:space="preserve">esa.int</t>
  </si>
  <si>
    <t xml:space="preserve">https://www.esa.int/About_Us/Careers_at_ESA/Join_us</t>
  </si>
  <si>
    <t xml:space="preserve">https://www.esa.int/Services/Contacts</t>
  </si>
  <si>
    <t xml:space="preserve">HQ Paris; ECSAT internships limited to UK citizens, UK-enrolled students or pre-settled status</t>
  </si>
  <si>
    <t xml:space="preserve">international-coffee-organization</t>
  </si>
  <si>
    <t xml:space="preserve">International Coffee Organization (ICO)</t>
  </si>
  <si>
    <t xml:space="preserve">https://ico.org</t>
  </si>
  <si>
    <t xml:space="preserve">ico.org</t>
  </si>
  <si>
    <t xml:space="preserve">https://ico.org/?p=2068</t>
  </si>
  <si>
    <t xml:space="preserve">mailto:info@ico.org</t>
  </si>
  <si>
    <t xml:space="preserve">United Kingdom (London)</t>
  </si>
  <si>
    <t xml:space="preserve">ICO interns obtain and finance any UK visa</t>
  </si>
  <si>
    <t xml:space="preserve">international-grains-council</t>
  </si>
  <si>
    <t xml:space="preserve">International Grains Council (IGC)</t>
  </si>
  <si>
    <t xml:space="preserve">https://www.igc.int</t>
  </si>
  <si>
    <t xml:space="preserve">igc.int</t>
  </si>
  <si>
    <t xml:space="preserve">international-maritime-organization</t>
  </si>
  <si>
    <t xml:space="preserve">International Maritime Organization (IMO)</t>
  </si>
  <si>
    <t xml:space="preserve">UN agency</t>
  </si>
  <si>
    <t xml:space="preserve">https://www.imo.org</t>
  </si>
  <si>
    <t xml:space="preserve">imo.org</t>
  </si>
  <si>
    <t xml:space="preserve">https://www.imo.org/en/About/Careers/Pages/Joining-IMO.aspx</t>
  </si>
  <si>
    <t xml:space="preserve">mailto:info@imo.org</t>
  </si>
  <si>
    <t xml:space="preserve">https://imo.org/en/OurWork/ERO/Pages/Internship-default.aspx</t>
  </si>
  <si>
    <t xml:space="preserve">UN agency; Research interns arrange their own visas (IMO intern agreement)</t>
  </si>
  <si>
    <t xml:space="preserve">international-mobile-satellite-organizat</t>
  </si>
  <si>
    <t xml:space="preserve">International Mobile Satellite Organization (IMSO)</t>
  </si>
  <si>
    <t xml:space="preserve">https://imso.org</t>
  </si>
  <si>
    <t xml:space="preserve">imso.org</t>
  </si>
  <si>
    <t xml:space="preserve">https://imso.org/governance/vacancies/</t>
  </si>
  <si>
    <t xml:space="preserve">mailto:recruitment@imso.org</t>
  </si>
  <si>
    <t xml:space="preserve">Small London Directorate; no open positions listed</t>
  </si>
  <si>
    <t xml:space="preserve">international-monetary-fund</t>
  </si>
  <si>
    <t xml:space="preserve">International Monetary Fund (IMF)</t>
  </si>
  <si>
    <t xml:space="preserve">verify</t>
  </si>
  <si>
    <t xml:space="preserve">https://www.imf.org</t>
  </si>
  <si>
    <t xml:space="preserve">imf.org</t>
  </si>
  <si>
    <t xml:space="preserve">HQ Washington DC</t>
  </si>
  <si>
    <t xml:space="preserve">international-oil-pollution-compensation</t>
  </si>
  <si>
    <t xml:space="preserve">International Oil Pollution Compensation Funds (IOPC Funds)</t>
  </si>
  <si>
    <t xml:space="preserve">https://iopcfunds.org</t>
  </si>
  <si>
    <t xml:space="preserve">iopcfunds.org</t>
  </si>
  <si>
    <t xml:space="preserve">Merges IOPCF and IOPCF 1992; A 2009 Secretariat paper considered an internship programme and noted concerns; none found since</t>
  </si>
  <si>
    <t xml:space="preserve">international-organization-for-migration</t>
  </si>
  <si>
    <t xml:space="preserve">International Organization for Migration (IOM)</t>
  </si>
  <si>
    <t xml:space="preserve">https://www.iom.int</t>
  </si>
  <si>
    <t xml:space="preserve">iom.int</t>
  </si>
  <si>
    <t xml:space="preserve">https://www.iom.int/internships-iom</t>
  </si>
  <si>
    <t xml:space="preserve">https://www.iom.int/media-inquiries</t>
  </si>
  <si>
    <t xml:space="preserve">media/press contact page</t>
  </si>
  <si>
    <t xml:space="preserve">Switzerland (Geneva)</t>
  </si>
  <si>
    <t xml:space="preserve">Swiss FDFA guidelines: interns of international organisations in Geneva receive a type H FDFA legitimation card instead of a cantonal work permit (an entry visa may still be needed depending on nationality)</t>
  </si>
  <si>
    <t xml:space="preserve">https://www.mission-geneve.dfae.admin.ch/dam/en/sd-web/L41usZgf5eOu/22E%20Directive%20OI%20d%C3%A9cembre%202025%20IFFED.pdf</t>
  </si>
  <si>
    <t xml:space="preserve">HQ Geneva</t>
  </si>
  <si>
    <t xml:space="preserve">international-sugar-organization</t>
  </si>
  <si>
    <t xml:space="preserve">International Sugar Organization (ISO)</t>
  </si>
  <si>
    <t xml:space="preserve">https://www.isosugar.org</t>
  </si>
  <si>
    <t xml:space="preserve">isosugar.org</t>
  </si>
  <si>
    <t xml:space="preserve">mailto:info@isosugar.org</t>
  </si>
  <si>
    <t xml:space="preserve">London HQ (Canary Wharf); no internship page found</t>
  </si>
  <si>
    <t xml:space="preserve">international-whaling-commission</t>
  </si>
  <si>
    <t xml:space="preserve">International Whaling Commission (IWC)</t>
  </si>
  <si>
    <t xml:space="preserve">Histon, Cambridge</t>
  </si>
  <si>
    <t xml:space="preserve">https://iwc.int</t>
  </si>
  <si>
    <t xml:space="preserve">iwc.int</t>
  </si>
  <si>
    <t xml:space="preserve">north-atlantic-salmon-conservation-organ</t>
  </si>
  <si>
    <t xml:space="preserve">North Atlantic Salmon Conservation Organization (NASCO)</t>
  </si>
  <si>
    <t xml:space="preserve">https://nasco.int</t>
  </si>
  <si>
    <t xml:space="preserve">nasco.int</t>
  </si>
  <si>
    <t xml:space="preserve">Five-person Secretariat in Edinburgh; staff posts require UK residence and right to work</t>
  </si>
  <si>
    <t xml:space="preserve">north-east-atlantic-fisheries-commission</t>
  </si>
  <si>
    <t xml:space="preserve">North-East Atlantic Fisheries Commission (NEAFC)</t>
  </si>
  <si>
    <t xml:space="preserve">https://www.neafc.org</t>
  </si>
  <si>
    <t xml:space="preserve">neafc.org</t>
  </si>
  <si>
    <t xml:space="preserve">mailto:info@neafc.org</t>
  </si>
  <si>
    <t xml:space="preserve">Small London Secretariat; contact info@neafc.org</t>
  </si>
  <si>
    <t xml:space="preserve">ospar-commission</t>
  </si>
  <si>
    <t xml:space="preserve">OSPAR Commission</t>
  </si>
  <si>
    <t xml:space="preserve">https://www.ospar.org</t>
  </si>
  <si>
    <t xml:space="preserve">ospar.org</t>
  </si>
  <si>
    <t xml:space="preserve">https://www.ospar.org/contact</t>
  </si>
  <si>
    <t xml:space="preserve">Staff posts usually limited to Contracting Party or EU nationals; a junior postdoc post was advertised in 2026</t>
  </si>
  <si>
    <t xml:space="preserve">square-kilometre-array-observatory</t>
  </si>
  <si>
    <t xml:space="preserve">Square Kilometre Array Observatory (SKAO)</t>
  </si>
  <si>
    <t xml:space="preserve">Jodrell Bank</t>
  </si>
  <si>
    <t xml:space="preserve">https://www.skao.int</t>
  </si>
  <si>
    <t xml:space="preserve">skao.int</t>
  </si>
  <si>
    <t xml:space="preserve">Check member-country nationality rules</t>
  </si>
  <si>
    <t xml:space="preserve">united-nations-children-s-fund</t>
  </si>
  <si>
    <t xml:space="preserve">United Nations Children's Fund (UNICEF)</t>
  </si>
  <si>
    <t xml:space="preserve">https://www.unicef.org</t>
  </si>
  <si>
    <t xml:space="preserve">unicef.org</t>
  </si>
  <si>
    <t xml:space="preserve">https://jobs.unicef.org/</t>
  </si>
  <si>
    <t xml:space="preserve">https://www.unicef.org/media/contact-us</t>
  </si>
  <si>
    <t xml:space="preserve">HQ New York; Global internships pay a stipend (up to USD 1,700 at some HQ roles); UNICEF UK is a separate national charity</t>
  </si>
  <si>
    <t xml:space="preserve">united-nations-development-programme</t>
  </si>
  <si>
    <t xml:space="preserve">United Nations Development Programme (UNDP)</t>
  </si>
  <si>
    <t xml:space="preserve">https://www.undp.org</t>
  </si>
  <si>
    <t xml:space="preserve">undp.org</t>
  </si>
  <si>
    <t xml:space="preserve">https://www.undp.org/careers/frequently-asked-questions</t>
  </si>
  <si>
    <t xml:space="preserve">https://undp.org/contact-us</t>
  </si>
  <si>
    <t xml:space="preserve">HQ New York; UNDP runs representation-office and remote internships (up to 6 months) elsewhere</t>
  </si>
  <si>
    <t xml:space="preserve">united-nations-high-commissioner-for-ref</t>
  </si>
  <si>
    <t xml:space="preserve">United Nations High Commissioner for Refugees (UNHCR)</t>
  </si>
  <si>
    <t xml:space="preserve">https://www.unhcr.org</t>
  </si>
  <si>
    <t xml:space="preserve">unhcr.org</t>
  </si>
  <si>
    <t xml:space="preserve">https://www.unhcr.org/internships</t>
  </si>
  <si>
    <t xml:space="preserve">https://www.unhcr.org/international-media-contacts</t>
  </si>
  <si>
    <t xml:space="preserve">HQ Geneva; UNHCR London cannot sponsor visas; interns need the right to work in the UK</t>
  </si>
  <si>
    <t xml:space="preserve">united-nations-population-fund</t>
  </si>
  <si>
    <t xml:space="preserve">United Nations Population Fund (UNFPA)</t>
  </si>
  <si>
    <t xml:space="preserve">https://www.unfpa.org</t>
  </si>
  <si>
    <t xml:space="preserve">unfpa.org</t>
  </si>
  <si>
    <t xml:space="preserve">https://un.dk/wp-content/uploads/2026/03/UNFPA-NRO-internship-Autumn-2026-ToR-2.pdf</t>
  </si>
  <si>
    <t xml:space="preserve">mailto:nordic.office@unfpa.org</t>
  </si>
  <si>
    <t xml:space="preserve">HQ New York</t>
  </si>
  <si>
    <t xml:space="preserve">united-nations-world-food-programme</t>
  </si>
  <si>
    <t xml:space="preserve">United Nations World Food Programme (WFP)</t>
  </si>
  <si>
    <t xml:space="preserve">https://www.wfp.org</t>
  </si>
  <si>
    <t xml:space="preserve">wfp.org</t>
  </si>
  <si>
    <t xml:space="preserve">https://www.wfp.org/careers/contract-types</t>
  </si>
  <si>
    <t xml:space="preserve">https://www.wfp.org/contact</t>
  </si>
  <si>
    <t xml:space="preserve">WFP supports visa applications (official)</t>
  </si>
  <si>
    <t xml:space="preserve">HQ Rome</t>
  </si>
  <si>
    <t xml:space="preserve">world-bank-group</t>
  </si>
  <si>
    <t xml:space="preserve">World Bank Group (IBRD, IDA, IFC)</t>
  </si>
  <si>
    <t xml:space="preserve">https://www.worldbank.org</t>
  </si>
  <si>
    <t xml:space="preserve">worldbank.org</t>
  </si>
  <si>
    <t xml:space="preserve">https://www.worldbank.org/en/about/careers</t>
  </si>
  <si>
    <t xml:space="preserve">Merges IBRD, IDA, IFC</t>
  </si>
  <si>
    <t xml:space="preserve">world-health-organization</t>
  </si>
  <si>
    <t xml:space="preserve">World Health Organization (WHO)</t>
  </si>
  <si>
    <t xml:space="preserve">https://www.who.int</t>
  </si>
  <si>
    <t xml:space="preserve">who.int</t>
  </si>
  <si>
    <t xml:space="preserve">https://www.emro.who.int/about-who/internships/eligibility-criteria.html</t>
  </si>
  <si>
    <t xml:space="preserve">https://who.int/about/contact-us</t>
  </si>
  <si>
    <t xml:space="preserve">international-union-of-crystallography</t>
  </si>
  <si>
    <t xml:space="preserve">International Union of Crystallography</t>
  </si>
  <si>
    <t xml:space="preserve">International NGO</t>
  </si>
  <si>
    <t xml:space="preserve">Chester</t>
  </si>
  <si>
    <t xml:space="preserve">https://www.iucr.org</t>
  </si>
  <si>
    <t xml:space="preserve">iucr.org</t>
  </si>
  <si>
    <t xml:space="preserve">https://www.iucr.org/home/leading-article/2012/2012-03-16</t>
  </si>
  <si>
    <t xml:space="preserve">Manual (v1 international NGOs and associations)</t>
  </si>
  <si>
    <t xml:space="preserve">Check</t>
  </si>
  <si>
    <t xml:space="preserve">international-glaciological-society</t>
  </si>
  <si>
    <t xml:space="preserve">International Glaciological Society</t>
  </si>
  <si>
    <t xml:space="preserve">Cambridge</t>
  </si>
  <si>
    <t xml:space="preserve">https://www.igsoc.org</t>
  </si>
  <si>
    <t xml:space="preserve">igsoc.org</t>
  </si>
  <si>
    <t xml:space="preserve">https://www.igsoc.org/about/egg-early-career-glaciologists-group</t>
  </si>
  <si>
    <t xml:space="preserve">unep-wcmc</t>
  </si>
  <si>
    <t xml:space="preserve">UNEP-WCMC</t>
  </si>
  <si>
    <t xml:space="preserve">https://www.unep-wcmc.org</t>
  </si>
  <si>
    <t xml:space="preserve">unep-wcmc.org</t>
  </si>
  <si>
    <t xml:space="preserve">https://www.cambridgeconservationforum.org.uk/jobs/internship-climate-change-and-biodiversity/</t>
  </si>
  <si>
    <t xml:space="preserve">Internships; check</t>
  </si>
  <si>
    <t xml:space="preserve">elixir-hub</t>
  </si>
  <si>
    <t xml:space="preserve">ELIXIR Hub</t>
  </si>
  <si>
    <t xml:space="preserve">https://elixir-europe.org</t>
  </si>
  <si>
    <t xml:space="preserve">elixir-europe.org</t>
  </si>
  <si>
    <t xml:space="preserve">https://elixir-europe.org/about-us/staff-exchange-programme</t>
  </si>
  <si>
    <t xml:space="preserve">Staff exchange; check</t>
  </si>
  <si>
    <t xml:space="preserve">international-water-association</t>
  </si>
  <si>
    <t xml:space="preserve">International Water Association</t>
  </si>
  <si>
    <t xml:space="preserve">https://iwa-network.org</t>
  </si>
  <si>
    <t xml:space="preserve">iwa-network.org</t>
  </si>
  <si>
    <t xml:space="preserve">international-institute-for-conservation</t>
  </si>
  <si>
    <t xml:space="preserve">International Institute for Conservation of Historic and Artistic Works</t>
  </si>
  <si>
    <t xml:space="preserve">https://www.iiconservation.org</t>
  </si>
  <si>
    <t xml:space="preserve">iiconservation.org</t>
  </si>
  <si>
    <t xml:space="preserve">https://iiconservation.org/announcements/international-call-students-and-early-career-congress-attendance-applications</t>
  </si>
  <si>
    <t xml:space="preserve">international-bar-association</t>
  </si>
  <si>
    <t xml:space="preserve">International Bar Association</t>
  </si>
  <si>
    <t xml:space="preserve">https://www.ibanet.org</t>
  </si>
  <si>
    <t xml:space="preserve">ibanet.org</t>
  </si>
  <si>
    <t xml:space="preserve">https://www.ibanet.org/legal-internships-faq</t>
  </si>
  <si>
    <t xml:space="preserve">international-chamber-of-shipping</t>
  </si>
  <si>
    <t xml:space="preserve">International Chamber of Shipping</t>
  </si>
  <si>
    <t xml:space="preserve">https://www.ics-shipping.org</t>
  </si>
  <si>
    <t xml:space="preserve">ics-shipping.org</t>
  </si>
  <si>
    <t xml:space="preserve">Check; Trade association; search found no internship or grant scheme</t>
  </si>
  <si>
    <t xml:space="preserve">association-of-commonwealth-universities</t>
  </si>
  <si>
    <t xml:space="preserve">Association of Commonwealth Universities</t>
  </si>
  <si>
    <t xml:space="preserve">https://www.acu.ac.uk</t>
  </si>
  <si>
    <t xml:space="preserve">acu.ac.uk</t>
  </si>
  <si>
    <t xml:space="preserve">Fellowships; may be limited to member universities</t>
  </si>
  <si>
    <t xml:space="preserve">amnesty-international</t>
  </si>
  <si>
    <t xml:space="preserve">Amnesty International</t>
  </si>
  <si>
    <t xml:space="preserve">https://www.amnesty.org</t>
  </si>
  <si>
    <t xml:space="preserve">amnesty.org</t>
  </si>
  <si>
    <t xml:space="preserve">https://www.amnesty.org/en/wp-content/uploads/2021/08/org630012007en.pdf</t>
  </si>
  <si>
    <t xml:space="preserve">save-the-children-international</t>
  </si>
  <si>
    <t xml:space="preserve">Save the Children International</t>
  </si>
  <si>
    <t xml:space="preserve">https://www.savethechildren.net</t>
  </si>
  <si>
    <t xml:space="preserve">savethechildren.net</t>
  </si>
  <si>
    <t xml:space="preserve">https://www.savethechildren.net/careers</t>
  </si>
  <si>
    <t xml:space="preserve">mailto:scirecruitment@savethechildren.org</t>
  </si>
  <si>
    <t xml:space="preserve">international-planned-parenthood-federat</t>
  </si>
  <si>
    <t xml:space="preserve">International Planned Parenthood Federation</t>
  </si>
  <si>
    <t xml:space="preserve">https://www.ippf.org</t>
  </si>
  <si>
    <t xml:space="preserve">ippf.org</t>
  </si>
  <si>
    <t xml:space="preserve">https://www.ippf.org/node/6212</t>
  </si>
  <si>
    <t xml:space="preserve">birdlife-international</t>
  </si>
  <si>
    <t xml:space="preserve">BirdLife International</t>
  </si>
  <si>
    <t xml:space="preserve">https://www.birdlife.org</t>
  </si>
  <si>
    <t xml:space="preserve">birdlife.org</t>
  </si>
  <si>
    <t xml:space="preserve">fauna-flora</t>
  </si>
  <si>
    <t xml:space="preserve">Fauna &amp; Flora</t>
  </si>
  <si>
    <t xml:space="preserve">https://www.fauna-flora.org</t>
  </si>
  <si>
    <t xml:space="preserve">fauna-flora.org</t>
  </si>
  <si>
    <t xml:space="preserve">international-alert</t>
  </si>
  <si>
    <t xml:space="preserve">International Alert</t>
  </si>
  <si>
    <t xml:space="preserve">https://www.international-alert.org</t>
  </si>
  <si>
    <t xml:space="preserve">international-alert.org</t>
  </si>
  <si>
    <t xml:space="preserve">minority-rights-group-international</t>
  </si>
  <si>
    <t xml:space="preserve">Minority Rights Group International</t>
  </si>
  <si>
    <t xml:space="preserve">https://minorityrights.org</t>
  </si>
  <si>
    <t xml:space="preserve">minorityrights.org</t>
  </si>
  <si>
    <t xml:space="preserve">https://minorityrights.org/jobs/research-interns-london-based/</t>
  </si>
  <si>
    <t xml:space="preserve">article-19</t>
  </si>
  <si>
    <t xml:space="preserve">ARTICLE 19</t>
  </si>
  <si>
    <t xml:space="preserve">https://www.article19.org</t>
  </si>
  <si>
    <t xml:space="preserve">article19.org</t>
  </si>
  <si>
    <t xml:space="preserve">https://www.article19.org/pages/en/jobs.html</t>
  </si>
  <si>
    <t xml:space="preserve">global-witness</t>
  </si>
  <si>
    <t xml:space="preserve">Global Witness</t>
  </si>
  <si>
    <t xml:space="preserve">https://www.globalwitness.org</t>
  </si>
  <si>
    <t xml:space="preserve">globalwitness.org</t>
  </si>
  <si>
    <t xml:space="preserve">plan-international</t>
  </si>
  <si>
    <t xml:space="preserve">Plan International</t>
  </si>
  <si>
    <t xml:space="preserve">Woking</t>
  </si>
  <si>
    <t xml:space="preserve">https://plan-international.org</t>
  </si>
  <si>
    <t xml:space="preserve">plan-international.org</t>
  </si>
  <si>
    <t xml:space="preserve">https://jobs.plan-international.org/viewalljobs/50/</t>
  </si>
  <si>
    <t xml:space="preserve">wateraid</t>
  </si>
  <si>
    <t xml:space="preserve">WaterAid</t>
  </si>
  <si>
    <t xml:space="preserve">https://www.wateraid.org</t>
  </si>
  <si>
    <t xml:space="preserve">wateraid.org</t>
  </si>
  <si>
    <t xml:space="preserve">https://apply.workable.com/wateraid/</t>
  </si>
  <si>
    <t xml:space="preserve">Check; Search found no current scheme; check careers page</t>
  </si>
  <si>
    <t xml:space="preserve">sightsavers</t>
  </si>
  <si>
    <t xml:space="preserve">Sightsavers</t>
  </si>
  <si>
    <t xml:space="preserve">Haywards Heath</t>
  </si>
  <si>
    <t xml:space="preserve">https://www.sightsavers.org</t>
  </si>
  <si>
    <t xml:space="preserve">sightsavers.org</t>
  </si>
  <si>
    <t xml:space="preserve">https://www.sightsavers.org/jobs/</t>
  </si>
  <si>
    <t xml:space="preserve">helpage-international</t>
  </si>
  <si>
    <t xml:space="preserve">HelpAge International</t>
  </si>
  <si>
    <t xml:space="preserve">https://www.helpage.org</t>
  </si>
  <si>
    <t xml:space="preserve">helpage.org</t>
  </si>
  <si>
    <t xml:space="preserve">international-agency-for-the-prevention-</t>
  </si>
  <si>
    <t xml:space="preserve">International Agency for the Prevention of Blindness</t>
  </si>
  <si>
    <t xml:space="preserve">https://www.iapb.org</t>
  </si>
  <si>
    <t xml:space="preserve">iapb.org</t>
  </si>
  <si>
    <t xml:space="preserve">Check; Hires entry-level assistants in London; no student scheme</t>
  </si>
  <si>
    <t xml:space="preserve">practical-action</t>
  </si>
  <si>
    <t xml:space="preserve">Practical Action</t>
  </si>
  <si>
    <t xml:space="preserve">Rugby</t>
  </si>
  <si>
    <t xml:space="preserve">https://practicalaction.org</t>
  </si>
  <si>
    <t xml:space="preserve">practicalaction.org</t>
  </si>
  <si>
    <t xml:space="preserve">tropical-health-and-education-trust</t>
  </si>
  <si>
    <t xml:space="preserve">Tropical Health and Education Trust (THET)</t>
  </si>
  <si>
    <t xml:space="preserve">https://www.thet.org</t>
  </si>
  <si>
    <t xml:space="preserve">thet.org</t>
  </si>
  <si>
    <t xml:space="preserve">european-commission</t>
  </si>
  <si>
    <t xml:space="preserve">European Commission</t>
  </si>
  <si>
    <t xml:space="preserve">EU institution</t>
  </si>
  <si>
    <t xml:space="preserve">Belgium</t>
  </si>
  <si>
    <t xml:space="preserve">Brussels / Luxembourg</t>
  </si>
  <si>
    <t xml:space="preserve">https://commission.europa.eu</t>
  </si>
  <si>
    <t xml:space="preserve">europa.eu</t>
  </si>
  <si>
    <t xml:space="preserve">https://traineeships.ec.europa.eu/who-can-apply/eligibiliy-criteria_en</t>
  </si>
  <si>
    <t xml:space="preserve">https://traineeships.ec.europa.eu/faq/what-traineeships-office_nl</t>
  </si>
  <si>
    <t xml:space="preserve">v2 research (official or public lists)</t>
  </si>
  <si>
    <t xml:space="preserve">Thesis-related traineeships match PhD visits but nationality is restricted</t>
  </si>
  <si>
    <t xml:space="preserve">international-labour-organization</t>
  </si>
  <si>
    <t xml:space="preserve">International Labour Organization (ILO)</t>
  </si>
  <si>
    <t xml:space="preserve">Switzerland</t>
  </si>
  <si>
    <t xml:space="preserve">Geneva</t>
  </si>
  <si>
    <t xml:space="preserve">https://www.ilo.org</t>
  </si>
  <si>
    <t xml:space="preserve">ilo.org</t>
  </si>
  <si>
    <t xml:space="preserve">https://jobs.ilo.org/content/Internships/</t>
  </si>
  <si>
    <t xml:space="preserve">https://www.ilo.org/contact-us</t>
  </si>
  <si>
    <t xml:space="preserve">world-intellectual-property-organization</t>
  </si>
  <si>
    <t xml:space="preserve">World Intellectual Property Organization (WIPO)</t>
  </si>
  <si>
    <t xml:space="preserve">https://www.wipo.int</t>
  </si>
  <si>
    <t xml:space="preserve">wipo.int</t>
  </si>
  <si>
    <t xml:space="preserve">https://www.wipo.int/jobs/en/internships</t>
  </si>
  <si>
    <t xml:space="preserve">https://www.wipo.int/contact/en/index.html</t>
  </si>
  <si>
    <t xml:space="preserve">world-trade-organization</t>
  </si>
  <si>
    <t xml:space="preserve">World Trade Organization (WTO)</t>
  </si>
  <si>
    <t xml:space="preserve">https://www.wto.org</t>
  </si>
  <si>
    <t xml:space="preserve">wto.org</t>
  </si>
  <si>
    <t xml:space="preserve">https://www.wto.org/english/thewto_e/vacan_e/iypp_e.htm</t>
  </si>
  <si>
    <t xml:space="preserve">https://www.wto.org/english/info_e/cont_e.htm</t>
  </si>
  <si>
    <t xml:space="preserve">Directly matches a PhD visit; restricted to developing/LDC nationals</t>
  </si>
  <si>
    <t xml:space="preserve">international-telecommunication-union</t>
  </si>
  <si>
    <t xml:space="preserve">International Telecommunication Union (ITU)</t>
  </si>
  <si>
    <t xml:space="preserve">https://www.itu.int</t>
  </si>
  <si>
    <t xml:space="preserve">itu.int</t>
  </si>
  <si>
    <t xml:space="preserve">https://jobs.itu.int/job/Geneva-Unpaid-Internship-WSIS-2025-2026-Junior-Project-Officer-%28High-Level-Track%29/1330974255</t>
  </si>
  <si>
    <t xml:space="preserve">https://www.itu.int/en/mediacentre/Pages/Contact.aspx</t>
  </si>
  <si>
    <t xml:space="preserve">https://heysuccess.com/opportunity/International-Telecommunication-Union-(ITU)-Internship-Programme-4288</t>
  </si>
  <si>
    <t xml:space="preserve">organisation-for-economic-co-operation-a</t>
  </si>
  <si>
    <t xml:space="preserve">Organisation for Economic Co-operation and Development (OECD)</t>
  </si>
  <si>
    <t xml:space="preserve">France</t>
  </si>
  <si>
    <t xml:space="preserve">Paris</t>
  </si>
  <si>
    <t xml:space="preserve">https://www.oecd.org</t>
  </si>
  <si>
    <t xml:space="preserve">oecd.org</t>
  </si>
  <si>
    <t xml:space="preserve">https://www.oecd.org/careers/internship-programme/</t>
  </si>
  <si>
    <t xml:space="preserve">https://www.oecd.org/contact</t>
  </si>
  <si>
    <t xml:space="preserve">international-atomic-energy-agency</t>
  </si>
  <si>
    <t xml:space="preserve">International Atomic Energy Agency (IAEA)</t>
  </si>
  <si>
    <t xml:space="preserve">Austria</t>
  </si>
  <si>
    <t xml:space="preserve">Vienna</t>
  </si>
  <si>
    <t xml:space="preserve">https://www.iaea.org</t>
  </si>
  <si>
    <t xml:space="preserve">iaea.org</t>
  </si>
  <si>
    <t xml:space="preserve">https://www.iaea.org/about/employment/internships/conditions</t>
  </si>
  <si>
    <t xml:space="preserve">https://www.iaea.org/newscenter/press/contacts</t>
  </si>
  <si>
    <t xml:space="preserve">IAEA official conditions: interns obtain their own entry visa; non-Austrian interns staying more than 6 months get a residence permit from the Austrian Foreign Ministry through the IAEA</t>
  </si>
  <si>
    <t xml:space="preserve">united-nations-industrial-development-or</t>
  </si>
  <si>
    <t xml:space="preserve">United Nations Industrial Development Organization (UNIDO)</t>
  </si>
  <si>
    <t xml:space="preserve">https://www.unido.org</t>
  </si>
  <si>
    <t xml:space="preserve">unido.org</t>
  </si>
  <si>
    <t xml:space="preserve">https://careers.unido.org/content/Internship/</t>
  </si>
  <si>
    <t xml:space="preserve">https://www.unido.org/contact-us</t>
  </si>
  <si>
    <t xml:space="preserve">UNIDO provides a visa support letter (official)</t>
  </si>
  <si>
    <t xml:space="preserve">united-nations-educational-scientific-an</t>
  </si>
  <si>
    <t xml:space="preserve">United Nations Educational, Scientific and Cultural Organization (UNESCO)</t>
  </si>
  <si>
    <t xml:space="preserve">https://www.unesco.org</t>
  </si>
  <si>
    <t xml:space="preserve">unesco.org</t>
  </si>
  <si>
    <t xml:space="preserve">https://careers.unesco.org</t>
  </si>
  <si>
    <t xml:space="preserve">https://core.unesco.org/en/contact-us</t>
  </si>
  <si>
    <t xml:space="preserve">united-nations-secretariat</t>
  </si>
  <si>
    <t xml:space="preserve">United Nations Secretariat (UN Office at Geneva and Vienna)</t>
  </si>
  <si>
    <t xml:space="preserve">Switzerland / Austria</t>
  </si>
  <si>
    <t xml:space="preserve">Geneva / Vienna</t>
  </si>
  <si>
    <t xml:space="preserve">https://careers.un.org</t>
  </si>
  <si>
    <t xml:space="preserve">un.org</t>
  </si>
  <si>
    <t xml:space="preserve">european-organization-for-nuclear-resear</t>
  </si>
  <si>
    <t xml:space="preserve">European Organization for Nuclear Research (CERN)</t>
  </si>
  <si>
    <t xml:space="preserve">https://home.cern</t>
  </si>
  <si>
    <t xml:space="preserve">cern.ch, home.cern</t>
  </si>
  <si>
    <t xml:space="preserve">https://careers.cern/?p=14771</t>
  </si>
  <si>
    <t xml:space="preserve">https://home.cern/contact</t>
  </si>
  <si>
    <t xml:space="preserve">2022 call; not open to PhD students; 2026 deadline 26 January (reported)</t>
  </si>
  <si>
    <t xml:space="preserve">food-and-agriculture-organization-of-the</t>
  </si>
  <si>
    <t xml:space="preserve">Food and Agriculture Organization of the United Nations (FAO)</t>
  </si>
  <si>
    <t xml:space="preserve">Italy</t>
  </si>
  <si>
    <t xml:space="preserve">Rome</t>
  </si>
  <si>
    <t xml:space="preserve">https://www.fao.org</t>
  </si>
  <si>
    <t xml:space="preserve">fao.org</t>
  </si>
  <si>
    <t xml:space="preserve">https://www.fao.org/employment/young-talent-programme/internship-programme/en/</t>
  </si>
  <si>
    <t xml:space="preserve">https://www.fao.org/newsroom/contacts/en</t>
  </si>
  <si>
    <t xml:space="preserve">Calls for expression of interest on FAO jobs portal</t>
  </si>
  <si>
    <t xml:space="preserve">international-fund-for-agricultural-deve</t>
  </si>
  <si>
    <t xml:space="preserve">International Fund for Agricultural Development (IFAD)</t>
  </si>
  <si>
    <t xml:space="preserve">https://www.ifad.org</t>
  </si>
  <si>
    <t xml:space="preserve">ifad.org</t>
  </si>
  <si>
    <t xml:space="preserve">https://www.ifad.org/internship-programme</t>
  </si>
  <si>
    <t xml:space="preserve">https://www.ifad.org/en/media-contacts</t>
  </si>
  <si>
    <t xml:space="preserve">Enhanced programme is for candidates not based in Rome</t>
  </si>
  <si>
    <t xml:space="preserve">gavi-the-vaccine-alliance</t>
  </si>
  <si>
    <t xml:space="preserve">Gavi, the Vaccine Alliance</t>
  </si>
  <si>
    <t xml:space="preserve">International foundation or union</t>
  </si>
  <si>
    <t xml:space="preserve">https://www.gavi.org</t>
  </si>
  <si>
    <t xml:space="preserve">gavi.org</t>
  </si>
  <si>
    <t xml:space="preserve">https://www.gavi.org/work-with-us/internship-programme</t>
  </si>
  <si>
    <t xml:space="preserve">https://www.gavi.org/contact-us</t>
  </si>
  <si>
    <t xml:space="preserve">Swiss FDFA guidelines: interns of international organisations in Geneva receive a type H FDFA legitimation card instead of a cantonal work permit (an entry visa may still be needed depending on nationality) (guidelines for quasi-governmental international organisations)</t>
  </si>
  <si>
    <t xml:space="preserve">https://www.mission-geneve.dfae.admin.ch/dam/en/sd-web/QqXpsVBvrJW4/Directive%20autres%20OI_EN.pdf</t>
  </si>
  <si>
    <t xml:space="preserve">Swiss foundation with international-organisation status; invitation letter for visa</t>
  </si>
  <si>
    <t xml:space="preserve">the-global-fund-to-fight-aids-tuberculos</t>
  </si>
  <si>
    <t xml:space="preserve">The Global Fund to Fight AIDS, Tuberculosis and Malaria</t>
  </si>
  <si>
    <t xml:space="preserve">https://www.theglobalfund.org</t>
  </si>
  <si>
    <t xml:space="preserve">theglobalfund.org</t>
  </si>
  <si>
    <t xml:space="preserve">https://theglobalfund.org/en/careers</t>
  </si>
  <si>
    <t xml:space="preserve">https://www.theglobalfund.org/en/contact/</t>
  </si>
  <si>
    <t xml:space="preserve">2016 notice; it required applicants already in Switzerland to hold a work permit</t>
  </si>
  <si>
    <t xml:space="preserve">international-committee-of-the-red-cross</t>
  </si>
  <si>
    <t xml:space="preserve">International Committee of the Red Cross (ICRC)</t>
  </si>
  <si>
    <t xml:space="preserve">https://www.icrc.org</t>
  </si>
  <si>
    <t xml:space="preserve">icrc.org</t>
  </si>
  <si>
    <t xml:space="preserve">https://careers.icrc.org/</t>
  </si>
  <si>
    <t xml:space="preserve">https://icrc.org/contact</t>
  </si>
  <si>
    <t xml:space="preserve">Low-quality listing; confirm on ICRC careers portal</t>
  </si>
  <si>
    <t xml:space="preserve">international-federation-of-red-cross-an</t>
  </si>
  <si>
    <t xml:space="preserve">International Federation of Red Cross and Red Crescent Societies (IFRC)</t>
  </si>
  <si>
    <t xml:space="preserve">https://www.ifrc.org</t>
  </si>
  <si>
    <t xml:space="preserve">ifrc.org</t>
  </si>
  <si>
    <t xml:space="preserve">https://www.ifrc.org/internships</t>
  </si>
  <si>
    <t xml:space="preserve">https://www.ifrc.org/fr/contact?id=57576</t>
  </si>
  <si>
    <t xml:space="preserve">european-molecular-biology-laboratory</t>
  </si>
  <si>
    <t xml:space="preserve">European Molecular Biology Laboratory (EMBL)</t>
  </si>
  <si>
    <t xml:space="preserve">Germany</t>
  </si>
  <si>
    <t xml:space="preserve">Heidelberg (and 5 other sites)</t>
  </si>
  <si>
    <t xml:space="preserve">https://www.embl.org</t>
  </si>
  <si>
    <t xml:space="preserve">embl.org</t>
  </si>
  <si>
    <t xml:space="preserve">Cannot be combined with another fellowship for the same project (official guidelines); quarterly selection; any of the six EMBL sites; For theory-oriented researchers</t>
  </si>
  <si>
    <t xml:space="preserve">european-molecular-biology-organization</t>
  </si>
  <si>
    <t xml:space="preserve">European Molecular Biology Organization (EMBO)</t>
  </si>
  <si>
    <t xml:space="preserve">Heidelberg</t>
  </si>
  <si>
    <t xml:space="preserve">https://www.embo.org</t>
  </si>
  <si>
    <t xml:space="preserve">embo.org</t>
  </si>
  <si>
    <t xml:space="preserve">https://www.embo.org/?p=6741</t>
  </si>
  <si>
    <t xml:space="preserve">mailto:fellowships@embo.org</t>
  </si>
  <si>
    <t xml:space="preserve">Apply at least 30 days before start</t>
  </si>
  <si>
    <t xml:space="preserve">international-institute-for-applied-syst</t>
  </si>
  <si>
    <t xml:space="preserve">International Institute for Applied Systems Analysis (IIASA)</t>
  </si>
  <si>
    <t xml:space="preserve">Laxenburg</t>
  </si>
  <si>
    <t xml:space="preserve">https://iiasa.ac.at</t>
  </si>
  <si>
    <t xml:space="preserve">ac.at</t>
  </si>
  <si>
    <t xml:space="preserve">https://iiasa.ac.at/early-career/yssp</t>
  </si>
  <si>
    <t xml:space="preserve">mailto:yssp.info@iiasa.ac.at</t>
  </si>
  <si>
    <t xml:space="preserve">Deadline 15 January 2027; members are national research bodies</t>
  </si>
  <si>
    <t xml:space="preserve">abdus-salam-international-centre-for-the</t>
  </si>
  <si>
    <t xml:space="preserve">Abdus Salam International Centre for Theoretical Physics (ICTP)</t>
  </si>
  <si>
    <t xml:space="preserve">Trieste</t>
  </si>
  <si>
    <t xml:space="preserve">https://www.ictp.it</t>
  </si>
  <si>
    <t xml:space="preserve">ictp.it</t>
  </si>
  <si>
    <t xml:space="preserve">https://www.ictp.it/hecap/research-opportunities</t>
  </si>
  <si>
    <t xml:space="preserve">mailto:pio@ictp.it</t>
  </si>
  <si>
    <t xml:space="preserve">Under UNESCO and IAEA; high energy, cosmology and astroparticle physics; page is the 2024 call (deadline 15 Dec 2023); yearly scheme; Genuine PhD research-visit scheme; annual call (2026 deadline 8 March)</t>
  </si>
  <si>
    <t xml:space="preserve">organisation-for-the-prohibition-of-chem</t>
  </si>
  <si>
    <t xml:space="preserve">Organisation for the Prohibition of Chemical Weapons (OPCW)</t>
  </si>
  <si>
    <t xml:space="preserve">Netherlands</t>
  </si>
  <si>
    <t xml:space="preserve">The Hague</t>
  </si>
  <si>
    <t xml:space="preserve">https://www.opcw.org</t>
  </si>
  <si>
    <t xml:space="preserve">opcw.org</t>
  </si>
  <si>
    <t xml:space="preserve">https://www.opcw.org/jobs/internships-at-opcw/</t>
  </si>
  <si>
    <t xml:space="preserve">https://www.opcw.org/contact/</t>
  </si>
  <si>
    <t xml:space="preserve">OPCW can help with visa applications (official)</t>
  </si>
  <si>
    <t xml:space="preserve">OPCW helps with visa applications</t>
  </si>
  <si>
    <t xml:space="preserve">international-criminal-court</t>
  </si>
  <si>
    <t xml:space="preserve">International Criminal Court (ICC)</t>
  </si>
  <si>
    <t xml:space="preserve">https://www.icc-cpi.int</t>
  </si>
  <si>
    <t xml:space="preserve">icc-cpi.int</t>
  </si>
  <si>
    <t xml:space="preserve">european-central-bank</t>
  </si>
  <si>
    <t xml:space="preserve">European Central Bank (ECB)</t>
  </si>
  <si>
    <t xml:space="preserve">Frankfurt am Main</t>
  </si>
  <si>
    <t xml:space="preserve">https://www.ecb.europa.eu</t>
  </si>
  <si>
    <t xml:space="preserve">https://talent.ecb.europa.eu/careers/JobDetail?jobId=9071</t>
  </si>
  <si>
    <t xml:space="preserve">Directly matches a PhD visit but nationality-restricted</t>
  </si>
  <si>
    <t xml:space="preserve">european-parliament</t>
  </si>
  <si>
    <t xml:space="preserve">European Parliament</t>
  </si>
  <si>
    <t xml:space="preserve">Belgium / Luxembourg / France</t>
  </si>
  <si>
    <t xml:space="preserve">Brussels / Luxembourg / Strasbourg</t>
  </si>
  <si>
    <t xml:space="preserve">https://www.europarl.europa.eu</t>
  </si>
  <si>
    <t xml:space="preserve">https://eu-careers.europa.eu/en/traineeships-members-european-parliament-meps</t>
  </si>
  <si>
    <t xml:space="preserve">mailto:PERS-Schuman-Trainees@europarl.europa.eu</t>
  </si>
  <si>
    <t xml:space="preserve">Applications 1-31 October 2026 for March-July 2027; Each MEP selects trainees directly; contact MEP offices</t>
  </si>
  <si>
    <t xml:space="preserve">organization-for-security-and-co-operati</t>
  </si>
  <si>
    <t xml:space="preserve">Organization for Security and Co-operation in Europe (OSCE)</t>
  </si>
  <si>
    <t xml:space="preserve">https://www.osce.org</t>
  </si>
  <si>
    <t xml:space="preserve">osce.org</t>
  </si>
  <si>
    <t xml:space="preserve">https://jobs.osce.org/vacancies/internship-vnsecc01402</t>
  </si>
  <si>
    <t xml:space="preserve">https://osce.org/node/11</t>
  </si>
  <si>
    <t xml:space="preserve">OSCE gives a visa support letter</t>
  </si>
  <si>
    <t xml:space="preserve">international-union-for-conservation-of-</t>
  </si>
  <si>
    <t xml:space="preserve">International Union for Conservation of Nature (IUCN)</t>
  </si>
  <si>
    <t xml:space="preserve">Gland</t>
  </si>
  <si>
    <t xml:space="preserve">https://iucn.org</t>
  </si>
  <si>
    <t xml:space="preserve">iucn.org</t>
  </si>
  <si>
    <t xml:space="preserve">https://hrms.iucn.org/vacancy/141</t>
  </si>
  <si>
    <t xml:space="preserve">https://iucn.org/contact</t>
  </si>
  <si>
    <t xml:space="preserve">A 2024 Gland notice required existing right to reside and work in Switzerland and gave no visa support</t>
  </si>
  <si>
    <t xml:space="preserve">european-xfel</t>
  </si>
  <si>
    <t xml:space="preserve">European XFEL</t>
  </si>
  <si>
    <t xml:space="preserve">Schenefeld (Hamburg)</t>
  </si>
  <si>
    <t xml:space="preserve">https://www.xfel.eu</t>
  </si>
  <si>
    <t xml:space="preserve">xfel.eu</t>
  </si>
  <si>
    <t xml:space="preserve">Summer students come through DESY's national programme; no own funded student-visit scheme found</t>
  </si>
  <si>
    <t xml:space="preserve">international-agency-for-research-on-can</t>
  </si>
  <si>
    <t xml:space="preserve">International Agency for Research on Cancer (IARC)</t>
  </si>
  <si>
    <t xml:space="preserve">Lyon</t>
  </si>
  <si>
    <t xml:space="preserve">https://www.iarc.who.int</t>
  </si>
  <si>
    <t xml:space="preserve">https://www.iarc.who.int/cards_page/mediacentrecontact</t>
  </si>
  <si>
    <t xml:space="preserve">Funded schemes are postdoctoral and mid-career (LMIC focus, 6-24 months); students come via university agreements or own funding</t>
  </si>
  <si>
    <t xml:space="preserve">united-nations-framework-convention-on-c</t>
  </si>
  <si>
    <t xml:space="preserve">United Nations Framework Convention on Climate Change secretariat (UNFCCC)</t>
  </si>
  <si>
    <t xml:space="preserve">Bonn</t>
  </si>
  <si>
    <t xml:space="preserve">https://unfccc.int</t>
  </si>
  <si>
    <t xml:space="preserve">unfccc.int</t>
  </si>
  <si>
    <t xml:space="preserve">https://unfccc.int/about-us/press-and-media</t>
  </si>
  <si>
    <t xml:space="preserve">Not a student scheme</t>
  </si>
  <si>
    <t xml:space="preserve">united-nations-university-in-bonn</t>
  </si>
  <si>
    <t xml:space="preserve">United Nations University (UNU) in Bonn (UNU-EHS / UNU-VIE)</t>
  </si>
  <si>
    <t xml:space="preserve">https://unu.edu</t>
  </si>
  <si>
    <t xml:space="preserve">unu.edu</t>
  </si>
  <si>
    <t xml:space="preserve">https://unu.edu/vie/visiting-scientists</t>
  </si>
  <si>
    <t xml:space="preserve">Hosting only; contact division heads directly</t>
  </si>
  <si>
    <t xml:space="preserve">united-nations-office-for-project-servic</t>
  </si>
  <si>
    <t xml:space="preserve">United Nations Office for Project Services (UNOPS)</t>
  </si>
  <si>
    <t xml:space="preserve">Denmark</t>
  </si>
  <si>
    <t xml:space="preserve">Copenhagen</t>
  </si>
  <si>
    <t xml:space="preserve">https://www.unops.org</t>
  </si>
  <si>
    <t xml:space="preserve">unops.org</t>
  </si>
  <si>
    <t xml:space="preserve">https://jobs.unops.org/</t>
  </si>
  <si>
    <t xml:space="preserve">https://www.unops.org/contact-us</t>
  </si>
  <si>
    <t xml:space="preserve">Based at UN City Copenhagen</t>
  </si>
  <si>
    <t xml:space="preserve">european-food-safety-authority</t>
  </si>
  <si>
    <t xml:space="preserve">European Food Safety Authority (EFSA)</t>
  </si>
  <si>
    <t xml:space="preserve">Parma</t>
  </si>
  <si>
    <t xml:space="preserve">https://www.efsa.europa.eu</t>
  </si>
  <si>
    <t xml:space="preserve">https://eu-careers.europa.eu/en/trainee/traineeships-efsa</t>
  </si>
  <si>
    <t xml:space="preserve">https://www.efsa.europa.eu/cnr/aboutefsa/contact</t>
  </si>
  <si>
    <t xml:space="preserve">2026 call deadline 15 April; about 120 places</t>
  </si>
  <si>
    <t xml:space="preserve">european-medicines-agency</t>
  </si>
  <si>
    <t xml:space="preserve">European Medicines Agency (EMA)</t>
  </si>
  <si>
    <t xml:space="preserve">Amsterdam</t>
  </si>
  <si>
    <t xml:space="preserve">https://www.ema.europa.eu</t>
  </si>
  <si>
    <t xml:space="preserve">https://www.ema.europa.eu/system/files/documents/recruitment/ed-rules-governing-traineeship-programme-ema-en.pdf</t>
  </si>
  <si>
    <t xml:space="preserve">european-centre-for-disease-prevention-a</t>
  </si>
  <si>
    <t xml:space="preserve">European Centre for Disease Prevention and Control (ECDC)</t>
  </si>
  <si>
    <t xml:space="preserve">Sweden</t>
  </si>
  <si>
    <t xml:space="preserve">Stockholm (Solna)</t>
  </si>
  <si>
    <t xml:space="preserve">https://www.ecdc.europa.eu</t>
  </si>
  <si>
    <t xml:space="preserve">https://www.ecdc.europa.eu/en/about-us/work-us/traineeships</t>
  </si>
  <si>
    <t xml:space="preserve">mailto:traineeship@ecdc.europa.eu</t>
  </si>
  <si>
    <t xml:space="preserve">Check current call for duration and non-EU quota</t>
  </si>
  <si>
    <t xml:space="preserve">european-union-intellectual-property-off</t>
  </si>
  <si>
    <t xml:space="preserve">European Union Intellectual Property Office (EUIPO)</t>
  </si>
  <si>
    <t xml:space="preserve">Spain</t>
  </si>
  <si>
    <t xml:space="preserve">Alicante</t>
  </si>
  <si>
    <t xml:space="preserve">https://www.euipo.europa.eu</t>
  </si>
  <si>
    <t xml:space="preserve">https://euipo.europa.eu/ohimportal/en/traineeships</t>
  </si>
  <si>
    <t xml:space="preserve">mailto:traineeships@euipo.europa.eu</t>
  </si>
  <si>
    <t xml:space="preserve">Official EUIPO FAQ hosted by a university site</t>
  </si>
  <si>
    <t xml:space="preserve">international-council-for-the-exploratio</t>
  </si>
  <si>
    <t xml:space="preserve">International Council for the Exploration of the Sea (ICES)</t>
  </si>
  <si>
    <t xml:space="preserve">https://www.ices.dk</t>
  </si>
  <si>
    <t xml:space="preserve">ices.dk</t>
  </si>
  <si>
    <t xml:space="preserve">https://www.ices.dk/about-ICES/Jobs-in-ICES/Pages/default.aspx</t>
  </si>
  <si>
    <t xml:space="preserve">Only part-time paid student-assistant roles (15 hours/week) for students in Copenhagen; no visiting scheme found</t>
  </si>
  <si>
    <t xml:space="preserve">european-training-foundation</t>
  </si>
  <si>
    <t xml:space="preserve">European Training Foundation (ETF)</t>
  </si>
  <si>
    <t xml:space="preserve">Turin</t>
  </si>
  <si>
    <t xml:space="preserve">https://www.etf.europa.eu</t>
  </si>
  <si>
    <t xml:space="preserve">https://www.etf.europa.eu/sv/about/working-with-us/traineeships</t>
  </si>
  <si>
    <t xml:space="preserve">ETF covers residence-permit costs for non-EU trainees (official)</t>
  </si>
  <si>
    <t xml:space="preserve">2026 call deadline 22 April</t>
  </si>
  <si>
    <t xml:space="preserve">european-foundation-for-the-improvement-</t>
  </si>
  <si>
    <t xml:space="preserve">European Foundation for the Improvement of Living and Working Conditions (Eurofound)</t>
  </si>
  <si>
    <t xml:space="preserve">Ireland</t>
  </si>
  <si>
    <t xml:space="preserve">Dublin</t>
  </si>
  <si>
    <t xml:space="preserve">https://www.eurofound.europa.eu</t>
  </si>
  <si>
    <t xml:space="preserve">https://eu-careers.europa.eu/en/trainee/traineeships-eurofound</t>
  </si>
  <si>
    <t xml:space="preserve">https://eurofound.europa.eu/en/contact</t>
  </si>
  <si>
    <t xml:space="preserve">world-meteorological-organization</t>
  </si>
  <si>
    <t xml:space="preserve">World Meteorological Organization (WMO)</t>
  </si>
  <si>
    <t xml:space="preserve">https://wmo.int</t>
  </si>
  <si>
    <t xml:space="preserve">wmo.int</t>
  </si>
  <si>
    <t xml:space="preserve">https://wmo.int/wmo-internships</t>
  </si>
  <si>
    <t xml:space="preserve">https://wmo.int/node/20810</t>
  </si>
  <si>
    <t xml:space="preserve">Meteorology, climatology, hydrology; also hosts the IPCC Secretariat</t>
  </si>
  <si>
    <t xml:space="preserve">european-environment-agency</t>
  </si>
  <si>
    <t xml:space="preserve">European Environment Agency (EEA)</t>
  </si>
  <si>
    <t xml:space="preserve">https://www.eea.europa.eu</t>
  </si>
  <si>
    <t xml:space="preserve">https://www.eea.europa.eu/en/about/careers/traineeships</t>
  </si>
  <si>
    <t xml:space="preserve">mailto:recruitment.enquiries@eea.europa.eu</t>
  </si>
  <si>
    <t xml:space="preserve">Apply through the Blue Book portal; October 2027 session deadline 7 April 2027 (reported)</t>
  </si>
  <si>
    <t xml:space="preserve">european-chemicals-agency</t>
  </si>
  <si>
    <t xml:space="preserve">European Chemicals Agency (ECHA)</t>
  </si>
  <si>
    <t xml:space="preserve">Finland</t>
  </si>
  <si>
    <t xml:space="preserve">Helsinki</t>
  </si>
  <si>
    <t xml:space="preserve">https://echa.europa.eu</t>
  </si>
  <si>
    <t xml:space="preserve">https://echa.europa.eu/traineeships-vacancies</t>
  </si>
  <si>
    <t xml:space="preserve">https://echa.europa.eu/contact</t>
  </si>
  <si>
    <t xml:space="preserve">Chemicals safety and environment</t>
  </si>
  <si>
    <t xml:space="preserve">european-union-drugs-agency</t>
  </si>
  <si>
    <t xml:space="preserve">European Union Drugs Agency (EUDA)</t>
  </si>
  <si>
    <t xml:space="preserve">Portugal</t>
  </si>
  <si>
    <t xml:space="preserve">Lisbon</t>
  </si>
  <si>
    <t xml:space="preserve">https://www.euda.europa.eu</t>
  </si>
  <si>
    <t xml:space="preserve">https://www.euda.europa.eu/about/jobs/euda-traineeship-frequently-asked-questions_en</t>
  </si>
  <si>
    <t xml:space="preserve">mailto:recruitment@euda.europa.eu</t>
  </si>
  <si>
    <t xml:space="preserve">global-center-on-adaptation</t>
  </si>
  <si>
    <t xml:space="preserve">Global Center on Adaptation (GCA)</t>
  </si>
  <si>
    <t xml:space="preserve">Rotterdam</t>
  </si>
  <si>
    <t xml:space="preserve">https://gca.org</t>
  </si>
  <si>
    <t xml:space="preserve">gca.org</t>
  </si>
  <si>
    <t xml:space="preserve">2025 vacancy: only candidates with a valid Netherlands work permit</t>
  </si>
  <si>
    <t xml:space="preserve">international-renewable-energy-agency</t>
  </si>
  <si>
    <t xml:space="preserve">International Renewable Energy Agency (IRENA)</t>
  </si>
  <si>
    <t xml:space="preserve">https://www.irena.org</t>
  </si>
  <si>
    <t xml:space="preserve">irena.org</t>
  </si>
  <si>
    <t xml:space="preserve">https://irena.org/employment</t>
  </si>
  <si>
    <t xml:space="preserve">https://www.irena.org/contact</t>
  </si>
  <si>
    <t xml:space="preserve">HQ in Abu Dhabi; energy-transition modelling; PhD students eligible</t>
  </si>
  <si>
    <t xml:space="preserve">united-nations-environment-programme</t>
  </si>
  <si>
    <t xml:space="preserve">United Nations Environment Programme (UNEP)</t>
  </si>
  <si>
    <t xml:space="preserve">https://www.unep.org</t>
  </si>
  <si>
    <t xml:space="preserve">unep.org</t>
  </si>
  <si>
    <t xml:space="preserve">united-nations-economic-commission-for-e</t>
  </si>
  <si>
    <t xml:space="preserve">United Nations Economic Commission for Europe (UNECE)</t>
  </si>
  <si>
    <t xml:space="preserve">https://unece.org</t>
  </si>
  <si>
    <t xml:space="preserve">unece.org</t>
  </si>
  <si>
    <t xml:space="preserve">mailto:info.ece@unece.org</t>
  </si>
  <si>
    <t xml:space="preserve">comprehensive-nuclear-test-ban-treaty-or</t>
  </si>
  <si>
    <t xml:space="preserve">Comprehensive Nuclear-Test-Ban Treaty Organization (CTBTO)</t>
  </si>
  <si>
    <t xml:space="preserve">https://www.ctbto.org</t>
  </si>
  <si>
    <t xml:space="preserve">ctbto.org</t>
  </si>
  <si>
    <t xml:space="preserve">https://www.ctbto.org/work-with-us/employment/internships</t>
  </si>
  <si>
    <t xml:space="preserve">https://www.ctbto.org/contact-us</t>
  </si>
  <si>
    <t xml:space="preserve">Seismology, radionuclide and verification science as well as policy roles</t>
  </si>
  <si>
    <t xml:space="preserve">united-nations-office-on-drugs-and-crime</t>
  </si>
  <si>
    <t xml:space="preserve">United Nations Office on Drugs and Crime (UNODC) / UN Office at Vienna</t>
  </si>
  <si>
    <t xml:space="preserve">https://www.unodc.org</t>
  </si>
  <si>
    <t xml:space="preserve">unodc.org</t>
  </si>
  <si>
    <t xml:space="preserve">mailto:info@unodc.org</t>
  </si>
  <si>
    <t xml:space="preserve">international-trade-centre</t>
  </si>
  <si>
    <t xml:space="preserve">International Trade Centre (ITC)</t>
  </si>
  <si>
    <t xml:space="preserve">https://intracen.org</t>
  </si>
  <si>
    <t xml:space="preserve">intracen.org</t>
  </si>
  <si>
    <t xml:space="preserve">https://www.intracen.org/contactus</t>
  </si>
  <si>
    <t xml:space="preserve">Joint agency of the UN and WTO</t>
  </si>
  <si>
    <t xml:space="preserve">wwf-international</t>
  </si>
  <si>
    <t xml:space="preserve">WWF International</t>
  </si>
  <si>
    <t xml:space="preserve">https://wwf.panda.org</t>
  </si>
  <si>
    <t xml:space="preserve">panda.org</t>
  </si>
  <si>
    <t xml:space="preserve">Only an older youth volunteer/internship programme (age 20-27) found; no current funded scheme at Gland identified</t>
  </si>
  <si>
    <t xml:space="preserve">joint-united-nations-programme-on-hiv-ai</t>
  </si>
  <si>
    <t xml:space="preserve">Joint United Nations Programme on HIV/AIDS (UNAIDS)</t>
  </si>
  <si>
    <t xml:space="preserve">https://www.unaids.org</t>
  </si>
  <si>
    <t xml:space="preserve">unaids.org</t>
  </si>
  <si>
    <t xml:space="preserve">https://erecruit.unaids.org</t>
  </si>
  <si>
    <t xml:space="preserve">https://unaids.org/en/contact</t>
  </si>
  <si>
    <t xml:space="preserve">Annual call; Geneva and other duty stations</t>
  </si>
  <si>
    <t xml:space="preserve">united-nations-institute-for-training-an</t>
  </si>
  <si>
    <t xml:space="preserve">United Nations Institute for Training and Research (UNITAR)</t>
  </si>
  <si>
    <t xml:space="preserve">https://unitar.org</t>
  </si>
  <si>
    <t xml:space="preserve">unitar.org</t>
  </si>
  <si>
    <t xml:space="preserve">https://www.unitar.org/vacancy-announcements</t>
  </si>
  <si>
    <t xml:space="preserve">mailto:info@unitar.org</t>
  </si>
  <si>
    <t xml:space="preserve">Confirm on unitar.org vacancies</t>
  </si>
  <si>
    <t xml:space="preserve">united-nations-office-for-disaster-risk-</t>
  </si>
  <si>
    <t xml:space="preserve">United Nations Office for Disaster Risk Reduction (UNDRR)</t>
  </si>
  <si>
    <t xml:space="preserve">Switzerland / Germany</t>
  </si>
  <si>
    <t xml:space="preserve">Geneva / Bonn</t>
  </si>
  <si>
    <t xml:space="preserve">https://www.undrr.org</t>
  </si>
  <si>
    <t xml:space="preserve">undrr.org</t>
  </si>
  <si>
    <t xml:space="preserve">european-organisation-for-the-exploitati</t>
  </si>
  <si>
    <t xml:space="preserve">European Organisation for the Exploitation of Meteorological Satellites (EUMETSAT)</t>
  </si>
  <si>
    <t xml:space="preserve">Darmstadt</t>
  </si>
  <si>
    <t xml:space="preserve">https://www.eumetsat.int</t>
  </si>
  <si>
    <t xml:space="preserve">eumetsat.int</t>
  </si>
  <si>
    <t xml:space="preserve">https://www.eumetsat.int/de/node/95</t>
  </si>
  <si>
    <t xml:space="preserve">european-synchrotron-radiation-facility</t>
  </si>
  <si>
    <t xml:space="preserve">European Synchrotron Radiation Facility (ESRF)</t>
  </si>
  <si>
    <t xml:space="preserve">Grenoble</t>
  </si>
  <si>
    <t xml:space="preserve">https://www.esrf.fr</t>
  </si>
  <si>
    <t xml:space="preserve">esrf.fr</t>
  </si>
  <si>
    <t xml:space="preserve">https://www.esrf.fr/home/events/conferences/2025/x-ray-and-neutron-science---international-student-summer-programme-2025.html</t>
  </si>
  <si>
    <t xml:space="preserve">https://ebs.esrf.fr/?p=53</t>
  </si>
  <si>
    <t xml:space="preserve">Run jointly with ILL</t>
  </si>
  <si>
    <t xml:space="preserve">institut-laue-langevin</t>
  </si>
  <si>
    <t xml:space="preserve">Institut Laue-Langevin (ILL)</t>
  </si>
  <si>
    <t xml:space="preserve">https://www.ill.eu</t>
  </si>
  <si>
    <t xml:space="preserve">ill.eu</t>
  </si>
  <si>
    <t xml:space="preserve">Co-runs the ESRF/ILL Student Summer Programme (recorded under ESRF); Master/PhD internships via Grenoble universities</t>
  </si>
  <si>
    <t xml:space="preserve">european-spallation-source</t>
  </si>
  <si>
    <t xml:space="preserve">European Spallation Source (ESS)</t>
  </si>
  <si>
    <t xml:space="preserve">Lund</t>
  </si>
  <si>
    <t xml:space="preserve">https://ess.eu</t>
  </si>
  <si>
    <t xml:space="preserve">ess.eu</t>
  </si>
  <si>
    <t xml:space="preserve">No funded student-visit scheme found</t>
  </si>
  <si>
    <t xml:space="preserve">iter-organization</t>
  </si>
  <si>
    <t xml:space="preserve">ITER Organization</t>
  </si>
  <si>
    <t xml:space="preserve">Saint-Paul-lez-Durance (Cadarache)</t>
  </si>
  <si>
    <t xml:space="preserve">https://www.iter.org</t>
  </si>
  <si>
    <t xml:space="preserve">iter.org</t>
  </si>
  <si>
    <t xml:space="preserve">https://www.iter.org/fr/jobs/internships</t>
  </si>
  <si>
    <t xml:space="preserve">Applications open in the last quarter of the year</t>
  </si>
  <si>
    <t xml:space="preserve">fusion-for-energy</t>
  </si>
  <si>
    <t xml:space="preserve">Fusion for Energy (F4E)</t>
  </si>
  <si>
    <t xml:space="preserve">Spain / France / Germany</t>
  </si>
  <si>
    <t xml:space="preserve">Barcelona / Cadarache / Garching</t>
  </si>
  <si>
    <t xml:space="preserve">https://fusionforenergy.europa.eu</t>
  </si>
  <si>
    <t xml:space="preserve">https://fusionforenergy.europa.eu/wp-content/uploads/2026/04/Decision_of_the_Director_of_F4E_on_rules_governing_the_F4E-Traineeship_Scheme.pdf</t>
  </si>
  <si>
    <t xml:space="preserve">european-investment-bank</t>
  </si>
  <si>
    <t xml:space="preserve">European Investment Bank (EIB)</t>
  </si>
  <si>
    <t xml:space="preserve">Luxembourg</t>
  </si>
  <si>
    <t xml:space="preserve">https://www.eib.org</t>
  </si>
  <si>
    <t xml:space="preserve">eib.org</t>
  </si>
  <si>
    <t xml:space="preserve">https://www.eib.org/en/about/careers/categories/traineeship</t>
  </si>
  <si>
    <t xml:space="preserve">Intakes 1 February and 1 September</t>
  </si>
  <si>
    <t xml:space="preserve">council-of-europe-development-bank</t>
  </si>
  <si>
    <t xml:space="preserve">Council of Europe Development Bank (CEB)</t>
  </si>
  <si>
    <t xml:space="preserve">https://coebank.org</t>
  </si>
  <si>
    <t xml:space="preserve">coebank.org</t>
  </si>
  <si>
    <t xml:space="preserve">https://jobs.coebank.org</t>
  </si>
  <si>
    <t xml:space="preserve">nordic-investment-bank</t>
  </si>
  <si>
    <t xml:space="preserve">Nordic Investment Bank (NIB)</t>
  </si>
  <si>
    <t xml:space="preserve">https://www.nib.int</t>
  </si>
  <si>
    <t xml:space="preserve">nib.int</t>
  </si>
  <si>
    <t xml:space="preserve">No internship scheme found in this search</t>
  </si>
  <si>
    <t xml:space="preserve">iclei-local-governments-for-sustainabili</t>
  </si>
  <si>
    <t xml:space="preserve">ICLEI - Local Governments for Sustainability (World Secretariat)</t>
  </si>
  <si>
    <t xml:space="preserve">https://iclei.org</t>
  </si>
  <si>
    <t xml:space="preserve">iclei.org</t>
  </si>
  <si>
    <t xml:space="preserve">https://www.iclei.org/en/jobs.html</t>
  </si>
  <si>
    <t xml:space="preserve">mailto:careers.bonn@iclei.org</t>
  </si>
  <si>
    <t xml:space="preserve">Postings ask non-EU applicants for visa/work permit details; usually a mandatory internship</t>
  </si>
  <si>
    <t xml:space="preserve">global-water-partnership</t>
  </si>
  <si>
    <t xml:space="preserve">Global Water Partnership (GWP)</t>
  </si>
  <si>
    <t xml:space="preserve">Stockholm</t>
  </si>
  <si>
    <t xml:space="preserve">https://www.gwp.org</t>
  </si>
  <si>
    <t xml:space="preserve">gwp.org</t>
  </si>
  <si>
    <t xml:space="preserve">https://www.gwp.org/globalassets/global/about-gwp/vacancies/internship-programme-procedure-march-2017.pdf</t>
  </si>
  <si>
    <t xml:space="preserve">Internship procedure (2017) requires interns to already hold required visas and permits; funding not stated</t>
  </si>
  <si>
    <t xml:space="preserve">inter-parliamentary-union</t>
  </si>
  <si>
    <t xml:space="preserve">Inter-Parliamentary Union (IPU)</t>
  </si>
  <si>
    <t xml:space="preserve">https://www.ipu.org</t>
  </si>
  <si>
    <t xml:space="preserve">ipu.org</t>
  </si>
  <si>
    <t xml:space="preserve">https://ipu.org/work-with-ipu/vacancies/2026-08/internship-inter-parliamentary-union</t>
  </si>
  <si>
    <t xml:space="preserve">mailto:postbox@ipu.org</t>
  </si>
  <si>
    <t xml:space="preserve">Travel, visas and documents at intern's cost</t>
  </si>
  <si>
    <t xml:space="preserve">united-nations-institute-for-disarmament</t>
  </si>
  <si>
    <t xml:space="preserve">United Nations Institute for Disarmament Research (UNIDIR)</t>
  </si>
  <si>
    <t xml:space="preserve">https://unidir.org</t>
  </si>
  <si>
    <t xml:space="preserve">unidir.org</t>
  </si>
  <si>
    <t xml:space="preserve">https://unidir.org/?p=23245</t>
  </si>
  <si>
    <t xml:space="preserve">mailto:unidir.recruitment@un.org</t>
  </si>
  <si>
    <t xml:space="preserve">Security, disarmament and technology policy; some calls prefer PhD candidates</t>
  </si>
  <si>
    <t xml:space="preserve">universal-postal-union</t>
  </si>
  <si>
    <t xml:space="preserve">Universal Postal Union (UPU)</t>
  </si>
  <si>
    <t xml:space="preserve">Bern</t>
  </si>
  <si>
    <t xml:space="preserve">https://www.upu.int</t>
  </si>
  <si>
    <t xml:space="preserve">upu.int</t>
  </si>
  <si>
    <t xml:space="preserve">https://upu.int/en/Universal-Postal-Union/Careers</t>
  </si>
  <si>
    <t xml:space="preserve">https://www.upu.int/en/Contact-us</t>
  </si>
  <si>
    <t xml:space="preserve">Vacancies list on impactpool/devex; official page upu.int careers</t>
  </si>
  <si>
    <t xml:space="preserve">international-energy-agency</t>
  </si>
  <si>
    <t xml:space="preserve">International Energy Agency (IEA)</t>
  </si>
  <si>
    <t xml:space="preserve">https://www.iea.org</t>
  </si>
  <si>
    <t xml:space="preserve">iea.org</t>
  </si>
  <si>
    <t xml:space="preserve">alliance-of-bioversity-international-and</t>
  </si>
  <si>
    <t xml:space="preserve">Alliance of Bioversity International and CIAT (CGIAR)</t>
  </si>
  <si>
    <t xml:space="preserve">https://alliancebioversityciat.org</t>
  </si>
  <si>
    <t xml:space="preserve">alliancebioversityciat.org</t>
  </si>
  <si>
    <t xml:space="preserve">Non-EU interns are responsible for their own immigration formalities</t>
  </si>
  <si>
    <t xml:space="preserve">international-training-centre-of-the-ilo</t>
  </si>
  <si>
    <t xml:space="preserve">International Training Centre of the ILO (ITCILO)</t>
  </si>
  <si>
    <t xml:space="preserve">https://www.itcilo.org</t>
  </si>
  <si>
    <t xml:space="preserve">itcilo.org</t>
  </si>
  <si>
    <t xml:space="preserve">https://jobs.itcilo.org/</t>
  </si>
  <si>
    <t xml:space="preserve">mailto:internships@itcilo.org</t>
  </si>
  <si>
    <t xml:space="preserve">ITCILO official conditions: once in Turin, HR advises interns on obtaining a residence permit</t>
  </si>
  <si>
    <t xml:space="preserve">HR advises interns on obtaining an Italian residence permit</t>
  </si>
  <si>
    <t xml:space="preserve">frontex</t>
  </si>
  <si>
    <t xml:space="preserve">European Border and Coast Guard Agency (Frontex)</t>
  </si>
  <si>
    <t xml:space="preserve">Poland</t>
  </si>
  <si>
    <t xml:space="preserve">Warsaw</t>
  </si>
  <si>
    <t xml:space="preserve">https://www.frontex.europa.eu</t>
  </si>
  <si>
    <t xml:space="preserve">https://eu-careers.europa.eu/en/job-opportunities/traineeships</t>
  </si>
  <si>
    <t xml:space="preserve">EU agencies list</t>
  </si>
  <si>
    <t xml:space="preserve">2026-10-09</t>
  </si>
  <si>
    <t xml:space="preserve">european-union-agency-for-asylum</t>
  </si>
  <si>
    <t xml:space="preserve">European Union Agency for Asylum (EUAA)</t>
  </si>
  <si>
    <t xml:space="preserve">Malta</t>
  </si>
  <si>
    <t xml:space="preserve">Valletta</t>
  </si>
  <si>
    <t xml:space="preserve">https://www.euaa.europa.eu</t>
  </si>
  <si>
    <t xml:space="preserve">european-union-agency-for-the-space-pro</t>
  </si>
  <si>
    <t xml:space="preserve">European Union Agency for the Space Programme (EUSPA)</t>
  </si>
  <si>
    <t xml:space="preserve">Czechia</t>
  </si>
  <si>
    <t xml:space="preserve">Prague</t>
  </si>
  <si>
    <t xml:space="preserve">https://www.euspa.europa.eu</t>
  </si>
  <si>
    <t xml:space="preserve">agency-for-the-cooperation-of-energy-re</t>
  </si>
  <si>
    <t xml:space="preserve">Agency for the Cooperation of Energy Regulators (ACER)</t>
  </si>
  <si>
    <t xml:space="preserve">Slovenia</t>
  </si>
  <si>
    <t xml:space="preserve">Ljubljana</t>
  </si>
  <si>
    <t xml:space="preserve">https://www.acer.europa.eu</t>
  </si>
  <si>
    <t xml:space="preserve">european-union-agency-for-law-enforceme</t>
  </si>
  <si>
    <t xml:space="preserve">European Union Agency for Law Enforcement Training (CEPOL)</t>
  </si>
  <si>
    <t xml:space="preserve">Hungary</t>
  </si>
  <si>
    <t xml:space="preserve">Budapest</t>
  </si>
  <si>
    <t xml:space="preserve">https://www.cepol.europa.eu</t>
  </si>
  <si>
    <t xml:space="preserve">single-resolution-board</t>
  </si>
  <si>
    <t xml:space="preserve">Single Resolution Board (SRB)</t>
  </si>
  <si>
    <t xml:space="preserve">Brussels</t>
  </si>
  <si>
    <t xml:space="preserve">https://www.srb.europa.eu</t>
  </si>
  <si>
    <t xml:space="preserve">european-research-council-executive-age</t>
  </si>
  <si>
    <t xml:space="preserve">European Research Council Executive Agency (ERCEA)</t>
  </si>
  <si>
    <t xml:space="preserve">https://erc.europa.eu</t>
  </si>
  <si>
    <t xml:space="preserve">opportunity_id</t>
  </si>
  <si>
    <t xml:space="preserve">summary</t>
  </si>
  <si>
    <t xml:space="preserve">opportunity_type</t>
  </si>
  <si>
    <t xml:space="preserve">discipline_area</t>
  </si>
  <si>
    <t xml:space="preserve">career_stage</t>
  </si>
  <si>
    <t xml:space="preserve">funding_type</t>
  </si>
  <si>
    <t xml:space="preserve">funding_amount</t>
  </si>
  <si>
    <t xml:space="preserve">funding_currency</t>
  </si>
  <si>
    <t xml:space="preserve">funding_period</t>
  </si>
  <si>
    <t xml:space="preserve">funding_note</t>
  </si>
  <si>
    <t xml:space="preserve">duration_max_weeks</t>
  </si>
  <si>
    <t xml:space="preserve">duration_note</t>
  </si>
  <si>
    <t xml:space="preserve">nationality_note</t>
  </si>
  <si>
    <t xml:space="preserve">host_city</t>
  </si>
  <si>
    <t xml:space="preserve">location_note</t>
  </si>
  <si>
    <t xml:space="preserve">location_country</t>
  </si>
  <si>
    <t xml:space="preserve">deadline_type</t>
  </si>
  <si>
    <t xml:space="preserve">next_deadline</t>
  </si>
  <si>
    <t xml:space="preserve">application_url</t>
  </si>
  <si>
    <t xml:space="preserve">source_url</t>
  </si>
  <si>
    <t xml:space="preserve">source_official</t>
  </si>
  <si>
    <t xml:space="preserve">verification_status</t>
  </si>
  <si>
    <t xml:space="preserve">status_reasons</t>
  </si>
  <si>
    <t xml:space="preserve">OP-064</t>
  </si>
  <si>
    <t xml:space="preserve">PhD Fellowship Programme</t>
  </si>
  <si>
    <t xml:space="preserve">PhD Fellowship Programme: fellowship at Bank for International Settlements; 3-11 months; Salary, travel and relocation support; for PhD students (preferably 3rd-4th year), economics or finance.</t>
  </si>
  <si>
    <t xml:space="preserve">Fellowship</t>
  </si>
  <si>
    <t xml:space="preserve">Social sciences</t>
  </si>
  <si>
    <t xml:space="preserve">PhD students (preferably 3rd-4th year), economics or finance</t>
  </si>
  <si>
    <t xml:space="preserve">Salary</t>
  </si>
  <si>
    <t xml:space="preserve">Salary, travel and relocation support (amount not stated)</t>
  </si>
  <si>
    <t xml:space="preserve">3-11 months</t>
  </si>
  <si>
    <t xml:space="preserve">Basel</t>
  </si>
  <si>
    <t xml:space="preserve">Ad hoc vacancies</t>
  </si>
  <si>
    <t xml:space="preserve">https://www.bis.org/careers/programmes.htm</t>
  </si>
  <si>
    <t xml:space="preserve">Excluded</t>
  </si>
  <si>
    <t xml:space="preserve">Longer than 6 months (44 weeks)</t>
  </si>
  <si>
    <t xml:space="preserve">OP-065</t>
  </si>
  <si>
    <t xml:space="preserve">UK internships (Egham or Wallingford, ad hoc)</t>
  </si>
  <si>
    <t xml:space="preserve">UK internships (Egham or Wallingford, ad hoc): internship at CAB International; About 3 months; Paid (example vacancy); for Students and recent graduates.</t>
  </si>
  <si>
    <t xml:space="preserve">Internship</t>
  </si>
  <si>
    <t xml:space="preserve">STEM</t>
  </si>
  <si>
    <t xml:space="preserve">Students and recent graduates</t>
  </si>
  <si>
    <t xml:space="preserve">Paid (example vacancy) (amount not stated)</t>
  </si>
  <si>
    <t xml:space="preserve">About 3 months</t>
  </si>
  <si>
    <t xml:space="preserve">https://www.conservation-careers.com/job/vacancy-for-invasive-species-intern/</t>
  </si>
  <si>
    <t xml:space="preserve">Presumed right-to-work requirement (UK employer, not confirmed); restore if a current notice shows visa holders are eligible</t>
  </si>
  <si>
    <t xml:space="preserve">OP-066</t>
  </si>
  <si>
    <t xml:space="preserve">Biological control internships (Delemont, Switzerland)</t>
  </si>
  <si>
    <t xml:space="preserve">Biological control internships (Delemont, Switzerland): internship at CAB International; 3-6 months; CHF 2,200-2,500 per month; for BSc or MSc students, recent graduates.</t>
  </si>
  <si>
    <t xml:space="preserve">BSc or MSc students, recent graduates</t>
  </si>
  <si>
    <t xml:space="preserve">Stipend or allowance</t>
  </si>
  <si>
    <t xml:space="preserve">CHF</t>
  </si>
  <si>
    <t xml:space="preserve">Per month</t>
  </si>
  <si>
    <t xml:space="preserve">CHF 2,200-2,500 per month</t>
  </si>
  <si>
    <t xml:space="preserve">3-6 months</t>
  </si>
  <si>
    <t xml:space="preserve">Delemont</t>
  </si>
  <si>
    <t xml:space="preserve">Fixed (annual or rounds)</t>
  </si>
  <si>
    <t xml:space="preserve">https://ewrs.org/db/upload/documents/News/CABI_Internships_2026.pdf</t>
  </si>
  <si>
    <t xml:space="preserve">Unconfirmable: relies on old or ad hoc secondary evidence; no current official page found (decision 8 Oct 2026)</t>
  </si>
  <si>
    <t xml:space="preserve">OP-013</t>
  </si>
  <si>
    <t xml:space="preserve">Graduate internships</t>
  </si>
  <si>
    <t xml:space="preserve">Graduate internships: internship at Commonwealth Foundation; 6 months; Travel allowance only; for Recent graduates.</t>
  </si>
  <si>
    <t xml:space="preserve">Recent graduates</t>
  </si>
  <si>
    <t xml:space="preserve">Grant</t>
  </si>
  <si>
    <t xml:space="preserve">Travel allowance only (amount not stated)</t>
  </si>
  <si>
    <t xml:space="preserve">6 months</t>
  </si>
  <si>
    <t xml:space="preserve">Requires existing right to live or work in host country</t>
  </si>
  <si>
    <t xml:space="preserve">OP-012</t>
  </si>
  <si>
    <t xml:space="preserve">Internships (e.g. Communications)</t>
  </si>
  <si>
    <t xml:space="preserve">Internships (e.g. Communications): internship at Commonwealth Secretariat; 6 months; Stipend; for Early-career.</t>
  </si>
  <si>
    <t xml:space="preserve">Early-career</t>
  </si>
  <si>
    <t xml:space="preserve">Stipend (amount not stated)</t>
  </si>
  <si>
    <t xml:space="preserve">https://opportunitiesforyouth.org/2026/04/27/commonwealth-internships/</t>
  </si>
  <si>
    <t xml:space="preserve">OP-011</t>
  </si>
  <si>
    <t xml:space="preserve">Internships (ad hoc)</t>
  </si>
  <si>
    <t xml:space="preserve">Internships (ad hoc): internship at European Bank for Reconstruction and Development; Varies (e.g. 6 months); Salary; for Postgraduate students, recent graduates.</t>
  </si>
  <si>
    <t xml:space="preserve">Postgraduate students, recent graduates</t>
  </si>
  <si>
    <t xml:space="preserve">Salary (amount not stated)</t>
  </si>
  <si>
    <t xml:space="preserve">Varies (e.g. 6 months)</t>
  </si>
  <si>
    <t xml:space="preserve">Not open to all nationalities (Nationals of EBRD member countries)</t>
  </si>
  <si>
    <t xml:space="preserve">OP-017</t>
  </si>
  <si>
    <t xml:space="preserve">Scientific Visitor Programme</t>
  </si>
  <si>
    <t xml:space="preserve">Scientific Visitor Programme: phd visit at European Bioinformatics Institute; By agreement with host; Partial funding (competitive); for PhD student, postdoc.</t>
  </si>
  <si>
    <t xml:space="preserve">PhD visit</t>
  </si>
  <si>
    <t xml:space="preserve">PhD student, postdoc</t>
  </si>
  <si>
    <t xml:space="preserve">EUR</t>
  </si>
  <si>
    <t xml:space="preserve">Lump sum</t>
  </si>
  <si>
    <t xml:space="preserve">EMBL CPP Fellowships: up to EUR 2,000 for travel and accommodation; any EMBL site incl. Hinxton (official)</t>
  </si>
  <si>
    <t xml:space="preserve">1 to 6 months</t>
  </si>
  <si>
    <t xml:space="preserve">Open regardless of country of origin (official)</t>
  </si>
  <si>
    <t xml:space="preserve">Verified</t>
  </si>
  <si>
    <t xml:space="preserve">OP-016</t>
  </si>
  <si>
    <t xml:space="preserve">Internships (ad hoc, sometimes externally funded)</t>
  </si>
  <si>
    <t xml:space="preserve">Internships (ad hoc, sometimes externally funded): internship at European Centre for Medium-Range Weather Forecasts; e.g. 6 months; Stipend (external); for Recent graduates, PhD students.</t>
  </si>
  <si>
    <t xml:space="preserve">Recent graduates, PhD students</t>
  </si>
  <si>
    <t xml:space="preserve">Stipend (external) (amount not stated)</t>
  </si>
  <si>
    <t xml:space="preserve">e.g. 6 months</t>
  </si>
  <si>
    <t xml:space="preserve">https://www.impactpool.org/jobs/1030005</t>
  </si>
  <si>
    <t xml:space="preserve">Funding comes from an external funder, not the organisation; Nationality eligibility not stated; Right-to-work requirement unclear; Needs an official source (current: impactpool.org)</t>
  </si>
  <si>
    <t xml:space="preserve">OP-068</t>
  </si>
  <si>
    <t xml:space="preserve">Traineeships (Bonn, Rome, Barcelona)</t>
  </si>
  <si>
    <t xml:space="preserve">Traineeships (Bonn, Rome, Barcelona): traineeship at European Forest Institute; 6 months; Paid monthly allowance; for Students and recent graduates.</t>
  </si>
  <si>
    <t xml:space="preserve">Traineeship</t>
  </si>
  <si>
    <t xml:space="preserve">Paid monthly allowance (amount not stated)</t>
  </si>
  <si>
    <t xml:space="preserve">Bonn / Rome / Barcelona</t>
  </si>
  <si>
    <t xml:space="preserve">Germany / Italy / Spain</t>
  </si>
  <si>
    <t xml:space="preserve">OP-069</t>
  </si>
  <si>
    <t xml:space="preserve">Short Scientific Visits</t>
  </si>
  <si>
    <t xml:space="preserve">Short Scientific Visits: travel grant at European Forest Institute; Minimum 2 weeks; Grant; for Early-stage researchers at EFI member organisations.</t>
  </si>
  <si>
    <t xml:space="preserve">Travel grant</t>
  </si>
  <si>
    <t xml:space="preserve">Early-stage researchers at EFI member organisations</t>
  </si>
  <si>
    <t xml:space="preserve">Grant (amount not stated)</t>
  </si>
  <si>
    <t xml:space="preserve">Minimum 2 weeks</t>
  </si>
  <si>
    <t xml:space="preserve">Various</t>
  </si>
  <si>
    <t xml:space="preserve">Europe (unconfirmed)</t>
  </si>
  <si>
    <t xml:space="preserve">https://etsiiaa.uva.es/?p=11957</t>
  </si>
  <si>
    <t xml:space="preserve">Not open to all nationalities (EFI member organisations); Host location not confirmed; Needs an official source (current: uva.es); Source is dated</t>
  </si>
  <si>
    <t xml:space="preserve">OP-071</t>
  </si>
  <si>
    <t xml:space="preserve">Student internships at ECSAT Harwell</t>
  </si>
  <si>
    <t xml:space="preserve">Student internships at ECSAT Harwell: internship at European Space Agency; Not stated; Internship allowance; for University students, preferably master's.</t>
  </si>
  <si>
    <t xml:space="preserve">University students, preferably master's</t>
  </si>
  <si>
    <t xml:space="preserve">Internship allowance (amount not stated)</t>
  </si>
  <si>
    <t xml:space="preserve">https://jobs.esa.int/job/Harwell-Intern-in-the-Spaceship-ECSAT-Team/1263606301</t>
  </si>
  <si>
    <t xml:space="preserve">v1: UK status required; Requires existing right to live or work in host country; Duration not stated</t>
  </si>
  <si>
    <t xml:space="preserve">OP-072</t>
  </si>
  <si>
    <t xml:space="preserve">ICO Internship Programme</t>
  </si>
  <si>
    <t xml:space="preserve">ICO Internship Programme: internship at International Coffee Organization; Not stated; part-time possible; Unpaid; possible small lump sum for London travel and lunch; for Students and graduates.</t>
  </si>
  <si>
    <t xml:space="preserve">Students and graduates</t>
  </si>
  <si>
    <t xml:space="preserve">Unpaid; possible small lump sum for London travel and lunch</t>
  </si>
  <si>
    <t xml:space="preserve">Not stated; part-time possible</t>
  </si>
  <si>
    <t xml:space="preserve">Not funded (unpaid or expenses only); Duration not stated</t>
  </si>
  <si>
    <t xml:space="preserve">OP-073</t>
  </si>
  <si>
    <t xml:space="preserve">Internships (listed in University of Geneva directory)</t>
  </si>
  <si>
    <t xml:space="preserve">Internships (listed in University of Geneva directory): internship at International Grains Council; Not stated; Unclear; for Students.</t>
  </si>
  <si>
    <t xml:space="preserve">Students</t>
  </si>
  <si>
    <t xml:space="preserve">Unclear</t>
  </si>
  <si>
    <t xml:space="preserve">https://www.unige.ch/internationalrelations/oiong/oi/stages-oiong/liste-des-oi</t>
  </si>
  <si>
    <t xml:space="preserve">OP-014</t>
  </si>
  <si>
    <t xml:space="preserve">Research Internship Programme</t>
  </si>
  <si>
    <t xml:space="preserve">Research Internship Programme: internship at International Maritime Organization; Short (older source: max 2 months; verify); Unpaid; for Master's or PhD student.</t>
  </si>
  <si>
    <t xml:space="preserve">Master's or PhD student</t>
  </si>
  <si>
    <t xml:space="preserve">Unpaid</t>
  </si>
  <si>
    <t xml:space="preserve">Short (older source: max 2 months; verify)</t>
  </si>
  <si>
    <t xml:space="preserve">Rolling</t>
  </si>
  <si>
    <t xml:space="preserve">Not funded (unpaid or expenses only)</t>
  </si>
  <si>
    <t xml:space="preserve">OP-015</t>
  </si>
  <si>
    <t xml:space="preserve">Student Externships</t>
  </si>
  <si>
    <t xml:space="preserve">Student Externships: internship at International Maritime Organization; 12 weeks; Unpaid; for Students needing academic credit.</t>
  </si>
  <si>
    <t xml:space="preserve">Students needing academic credit</t>
  </si>
  <si>
    <t xml:space="preserve">12 weeks</t>
  </si>
  <si>
    <t xml:space="preserve">https://imo.org/en/OurWork/ERO/Pages/Externships.aspx</t>
  </si>
  <si>
    <t xml:space="preserve">Not funded (unpaid or expenses only); Requires existing right to live or work in host country</t>
  </si>
  <si>
    <t xml:space="preserve">OP-082</t>
  </si>
  <si>
    <t xml:space="preserve">Fund Internship Program (FIP)</t>
  </si>
  <si>
    <t xml:space="preserve">Fund Internship Program (FIP): internship at International Monetary Fund; 10-12 weeks; Paid; no housing; for PhD students 1-2 years from completion.</t>
  </si>
  <si>
    <t xml:space="preserve">PhD students 1-2 years from completion</t>
  </si>
  <si>
    <t xml:space="preserve">Paid; no housing (amount not stated)</t>
  </si>
  <si>
    <t xml:space="preserve">10-12 weeks</t>
  </si>
  <si>
    <t xml:space="preserve">Washington DC</t>
  </si>
  <si>
    <t xml:space="preserve">United States</t>
  </si>
  <si>
    <t xml:space="preserve">https://untalent.org/jobs/2026-fund-internship-program-fip-economists</t>
  </si>
  <si>
    <t xml:space="preserve">Hosted outside Europe; Needs an official source (current: untalent.org)</t>
  </si>
  <si>
    <t xml:space="preserve">OP-039</t>
  </si>
  <si>
    <t xml:space="preserve">Internship Programme (includes UK office)</t>
  </si>
  <si>
    <t xml:space="preserve">Internship Programme (includes UK office): internship at International Organization for Migration; Typically 2-6 months; Varies; travel at intern's cost; for Students and graduates.</t>
  </si>
  <si>
    <t xml:space="preserve">Monthly subsistence allowance for most interns, unless funded by a university or sponsor (official) (amount not stated)</t>
  </si>
  <si>
    <t xml:space="preserve">2 to 6 months (maximum 9)</t>
  </si>
  <si>
    <t xml:space="preserve">Open to candidates of any nationality; age 20-36 (IOM vacancy text)</t>
  </si>
  <si>
    <t xml:space="preserve">Geneva (HQ) and country offices incl. London</t>
  </si>
  <si>
    <t xml:space="preserve">Switzerland / United Kingdom / various</t>
  </si>
  <si>
    <t xml:space="preserve">OP-076</t>
  </si>
  <si>
    <t xml:space="preserve">Summer internship (ad hoc)</t>
  </si>
  <si>
    <t xml:space="preserve">Summer internship (ad hoc): internship at International Whaling Commission; Summer; Paid at UK National Living Wage (2023 example); for Students.</t>
  </si>
  <si>
    <t xml:space="preserve">Paid at UK National Living Wage (2023 example) (amount not stated)</t>
  </si>
  <si>
    <t xml:space="preserve">Summer</t>
  </si>
  <si>
    <t xml:space="preserve">https://sites.evergreen.edu/mesweekly/wp-json/wp/v2/posts/48756</t>
  </si>
  <si>
    <t xml:space="preserve">OP-077</t>
  </si>
  <si>
    <t xml:space="preserve">Externally funded visiting researchers</t>
  </si>
  <si>
    <t xml:space="preserve">Externally funded visiting researchers: visiting researcher at International Whaling Commission; Varies; External funding (e.g. Fulbright-Schuman); for Graduate researchers with their own grant.</t>
  </si>
  <si>
    <t xml:space="preserve">Visiting researcher</t>
  </si>
  <si>
    <t xml:space="preserve">Graduate researchers with their own grant</t>
  </si>
  <si>
    <t xml:space="preserve">External funding (e.g. Fulbright-Schuman) (amount not stated)</t>
  </si>
  <si>
    <t xml:space="preserve">Varies</t>
  </si>
  <si>
    <t xml:space="preserve">https://fulbrightschuman.eu/?p=3989</t>
  </si>
  <si>
    <t xml:space="preserve">Funding comes from an external funder, not the organisation; Nationality eligibility not stated; Duration not stated; Needs an official source (current: fulbrightschuman.eu)</t>
  </si>
  <si>
    <t xml:space="preserve">OP-081</t>
  </si>
  <si>
    <t xml:space="preserve">National SKA fellowship schemes (e.g. Australian SKA Fellowships)</t>
  </si>
  <si>
    <t xml:space="preserve">National SKA fellowship schemes (e.g. Australian SKA Fellowships): fellowship at Square Kilometre Array Observatory; Short projects; SKAO HQ covers accommodation; for Professionals and researchers based in a member country.</t>
  </si>
  <si>
    <t xml:space="preserve">Professionals and researchers based in a member country</t>
  </si>
  <si>
    <t xml:space="preserve">SKAO HQ covers accommodation (amount not stated)</t>
  </si>
  <si>
    <t xml:space="preserve">Short projects</t>
  </si>
  <si>
    <t xml:space="preserve">Unknown</t>
  </si>
  <si>
    <t xml:space="preserve">https://www.industry.gov.au/sites/default/files/2018-10/australian_ska_fellowships_programme_terms_and_conditions.pdf</t>
  </si>
  <si>
    <t xml:space="preserve">Not open to all nationalities (Via national SKA offices; Australia-based for the Australian scheme); Duration not stated; Needs an official source (current: gov.au)</t>
  </si>
  <si>
    <t xml:space="preserve">OP-034</t>
  </si>
  <si>
    <t xml:space="preserve">UK internships (e.g. Legal Protection)</t>
  </si>
  <si>
    <t xml:space="preserve">UK internships (e.g. Legal Protection): internship at United Nations High Commissioner for Refugees; 6 months; Stipend; for Students and recent graduates.</t>
  </si>
  <si>
    <t xml:space="preserve">https://www.impactpool.org/jobs/989130</t>
  </si>
  <si>
    <t xml:space="preserve">v1: UK right to work required; Requires existing right to live or work in host country; Needs an official source (current: impactpool.org)</t>
  </si>
  <si>
    <t xml:space="preserve">OP-084</t>
  </si>
  <si>
    <t xml:space="preserve">Internships at UN City Copenhagen (Nordic Representation Office, Supply Chain roster)</t>
  </si>
  <si>
    <t xml:space="preserve">Global Internship Roster 2026: internship at United Nations Population Fund; Varies; Stipend based on place of work; for Students and recent graduates.</t>
  </si>
  <si>
    <t xml:space="preserve">Stipend for interns without outside funding, by place of work; round-trip travel up to a maximum for in-person interns (official ToR) (amount not stated)</t>
  </si>
  <si>
    <t xml:space="preserve">5 months (autumn intake 1 Sep 2026 - 31 Jan 2027; spring intake also run) (official ToR)</t>
  </si>
  <si>
    <t xml:space="preserve">No nationality restriction in UNFPA eligibility Confirm nationality and right-to-work terms in the current vacancy notice before applying.</t>
  </si>
  <si>
    <t xml:space="preserve">OP-083</t>
  </si>
  <si>
    <t xml:space="preserve">London Office internships (partnerships, communications)</t>
  </si>
  <si>
    <t xml:space="preserve">London Office internships (partnerships, communications): internship at United Nations World Food Programme; 6 months; Stipend (WFP standard; check notice); travel reimbursed for some developing-country nationals (2017); for Students and recent graduates.</t>
  </si>
  <si>
    <t xml:space="preserve">Stipend (WFP standard; check notice); travel reimbursed for some developing-country nationals (2017) (amount not stated)</t>
  </si>
  <si>
    <t xml:space="preserve">https://untalent.org/jobs/internship-government-partnerships-intern-wfp-london-office-uk</t>
  </si>
  <si>
    <t xml:space="preserve">OP-088</t>
  </si>
  <si>
    <t xml:space="preserve">WBG Pioneers internship</t>
  </si>
  <si>
    <t xml:space="preserve">WBG Pioneers internship: internship at World Bank Group; About 3 months, April-September; Paid; for Undergraduate and postgraduate students.</t>
  </si>
  <si>
    <t xml:space="preserve">Undergraduate and postgraduate students</t>
  </si>
  <si>
    <t xml:space="preserve">Paid (amount not stated)</t>
  </si>
  <si>
    <t xml:space="preserve">About 3 months, April-September</t>
  </si>
  <si>
    <t xml:space="preserve">https://www.efdinitiative.org/about-efd/job-openings/join-world-bank-groups-premier-internship-program</t>
  </si>
  <si>
    <t xml:space="preserve">Hosted outside Europe; Needs an official source (current: efdinitiative.org)</t>
  </si>
  <si>
    <t xml:space="preserve">OP-087</t>
  </si>
  <si>
    <t xml:space="preserve">WHO Internship Programme</t>
  </si>
  <si>
    <t xml:space="preserve">WHO Internship Programme: internship at World Health Organization; 6 weeks to 3 months (up to 6 by exception); Living allowance and insurance; for Graduate and postgraduate students.</t>
  </si>
  <si>
    <t xml:space="preserve">Graduate and postgraduate students</t>
  </si>
  <si>
    <t xml:space="preserve">Living allowance and insurance (amount not stated)</t>
  </si>
  <si>
    <t xml:space="preserve">6 weeks to 3 months (up to 6 by exception)</t>
  </si>
  <si>
    <t xml:space="preserve">Geneva and regional offices</t>
  </si>
  <si>
    <t xml:space="preserve">Switzerland / various</t>
  </si>
  <si>
    <t xml:space="preserve">OP-090</t>
  </si>
  <si>
    <t xml:space="preserve">Young Scientist bursaries for meetings and schools</t>
  </si>
  <si>
    <t xml:space="preserve">Young Scientist bursaries for meetings and schools: travel grant at International Union of Crystallography; Meeting attendance; Partial funding; for Students and postdocs (usually under 30-35).</t>
  </si>
  <si>
    <t xml:space="preserve">Students and postdocs (usually under 30-35)</t>
  </si>
  <si>
    <t xml:space="preserve">Partial funding (amount not stated)</t>
  </si>
  <si>
    <t xml:space="preserve">Meeting attendance</t>
  </si>
  <si>
    <t xml:space="preserve">v1: conference travel only; Duration not stated</t>
  </si>
  <si>
    <t xml:space="preserve">OP-091</t>
  </si>
  <si>
    <t xml:space="preserve">IGS-EGG Conference Grant</t>
  </si>
  <si>
    <t xml:space="preserve">IGS-EGG Conference Grant: travel grant at International Glaciological Society; Conference; Partial funding; for Students and within 5 years of degree.</t>
  </si>
  <si>
    <t xml:space="preserve">Students and within 5 years of degree</t>
  </si>
  <si>
    <t xml:space="preserve">Conference</t>
  </si>
  <si>
    <t xml:space="preserve">OP-093</t>
  </si>
  <si>
    <t xml:space="preserve">Internships (Cambridge, fixed-term)</t>
  </si>
  <si>
    <t xml:space="preserve">Internships (Cambridge, fixed-term): internship at UNEP-WCMC; About 8-12 weeks; Fixed-term contract (paid); for Students and graduates.</t>
  </si>
  <si>
    <t xml:space="preserve">Fixed-term contract (paid) (amount not stated)</t>
  </si>
  <si>
    <t xml:space="preserve">About 8-12 weeks</t>
  </si>
  <si>
    <t xml:space="preserve">Requires existing right to live or work in host country (WCMC states it is not a UN post and accepts only applicants eligible to work in the UK)</t>
  </si>
  <si>
    <t xml:space="preserve">OP-094</t>
  </si>
  <si>
    <t xml:space="preserve">ELIXIR Staff Exchange Programme</t>
  </si>
  <si>
    <t xml:space="preserve">ELIXIR Staff Exchange Programme: travel grant at ELIXIR Hub; Defined exchange (older calls: up to 4 weeks); Travel and accommodation, up to EUR 10,000; for Members of ELIXIR Node institutions.</t>
  </si>
  <si>
    <t xml:space="preserve">Members of ELIXIR Node institutions</t>
  </si>
  <si>
    <t xml:space="preserve">Travel and accommodation, up to EUR 10,000</t>
  </si>
  <si>
    <t xml:space="preserve">Defined exchange (older calls: up to 4 weeks)</t>
  </si>
  <si>
    <t xml:space="preserve">ELIXIR Node sites</t>
  </si>
  <si>
    <t xml:space="preserve">Europe (various)</t>
  </si>
  <si>
    <t xml:space="preserve">Not open to all nationalities (ELIXIR member countries' Node institutions)</t>
  </si>
  <si>
    <t xml:space="preserve">OP-092</t>
  </si>
  <si>
    <t xml:space="preserve">Young Water Professionals fellowships and leadership programme</t>
  </si>
  <si>
    <t xml:space="preserve">Young Water Professionals fellowships and leadership programme: fellowship at International Water Association; 12 months, part online; short gathering at London HQ; Travel covered for in-person events; for Water professionals aged 18-35.</t>
  </si>
  <si>
    <t xml:space="preserve">Water professionals aged 18-35</t>
  </si>
  <si>
    <t xml:space="preserve">Travel covered for in-person events (amount not stated)</t>
  </si>
  <si>
    <t xml:space="preserve">12 months, part online; short gathering at London HQ</t>
  </si>
  <si>
    <t xml:space="preserve">https://opportunitydesk.org/2024/10/18/iwa-amp-grundfos-youth-action-for-sdg-6-fellowship-2025-2026/</t>
  </si>
  <si>
    <t xml:space="preserve">Longer than 6 months (48 weeks); Needs an official source (current: opportunitydesk.org)</t>
  </si>
  <si>
    <t xml:space="preserve">OP-096</t>
  </si>
  <si>
    <t xml:space="preserve">Brommelle Memorial Fund congress grants</t>
  </si>
  <si>
    <t xml:space="preserve">Brommelle Memorial Fund congress grants: travel grant at International Institute for Conservation of Historic and Artistic Works; Congress attendance; Partial funding; for Conservation students and early-career professionals.</t>
  </si>
  <si>
    <t xml:space="preserve">Conservation students and early-career professionals</t>
  </si>
  <si>
    <t xml:space="preserve">Congress attendance</t>
  </si>
  <si>
    <t xml:space="preserve">OP-033</t>
  </si>
  <si>
    <t xml:space="preserve">Legal Internship Programme</t>
  </si>
  <si>
    <t xml:space="preserve">Legal Internship Programme: internship at International Bar Association; 3-month rotations; Unpaid in London; up to £2,000 for remote interns; for Law students, newly qualified lawyers.</t>
  </si>
  <si>
    <t xml:space="preserve">Law students, newly qualified lawyers</t>
  </si>
  <si>
    <t xml:space="preserve">GBP</t>
  </si>
  <si>
    <t xml:space="preserve">Unpaid in London; up to £2,000 for remote interns</t>
  </si>
  <si>
    <t xml:space="preserve">3-month rotations</t>
  </si>
  <si>
    <t xml:space="preserve">OP-095</t>
  </si>
  <si>
    <t xml:space="preserve">ACU Fellowships</t>
  </si>
  <si>
    <t xml:space="preserve">ACU Fellowships: fellowship at Association of Commonwealth Universities; 1-6 months; Partial funding; for Academics (PhD holders) and professional services staff.</t>
  </si>
  <si>
    <t xml:space="preserve">Academics (PhD holders) and professional services staff</t>
  </si>
  <si>
    <t xml:space="preserve">1-6 months</t>
  </si>
  <si>
    <t xml:space="preserve">https://research.ucalgary.ca/opportunity/2025-association-commonwealth-universities-acu-fellowships</t>
  </si>
  <si>
    <t xml:space="preserve">v1: staff only, not students; Not open to all nationalities (Staff of ACU member universities); Needs an official source (current: ucalgary.ca)</t>
  </si>
  <si>
    <t xml:space="preserve">OP-028</t>
  </si>
  <si>
    <t xml:space="preserve">International Secretariat internships</t>
  </si>
  <si>
    <t xml:space="preserve">International Secretariat internships: internship at Amnesty International; Varies; Older scheme: volunteer with travel and lunch; now occasionally paid; for Graduate-level law or international relations.</t>
  </si>
  <si>
    <t xml:space="preserve">Graduate-level law or international relations</t>
  </si>
  <si>
    <t xml:space="preserve">Older scheme: volunteer with travel and lunch; now occasionally paid</t>
  </si>
  <si>
    <t xml:space="preserve">Not funded (unpaid or expenses only); Nationality eligibility not stated; Right-to-work requirement unclear; Duration not stated; Source is dated</t>
  </si>
  <si>
    <t xml:space="preserve">OP-098</t>
  </si>
  <si>
    <t xml:space="preserve">London volunteer roles (e.g. Global Communications Volunteer)</t>
  </si>
  <si>
    <t xml:space="preserve">London volunteer roles (e.g. Global Communications Volunteer): internship at Save the Children International; 3 months; Unpaid; out-of-pocket expenses reimbursed; for Graduates.</t>
  </si>
  <si>
    <t xml:space="preserve">Graduates</t>
  </si>
  <si>
    <t xml:space="preserve">Unpaid; out-of-pocket expenses reimbursed</t>
  </si>
  <si>
    <t xml:space="preserve">3 months</t>
  </si>
  <si>
    <t xml:space="preserve">https://www.lesopportunites.com/?p=9518</t>
  </si>
  <si>
    <t xml:space="preserve">Not funded (unpaid or expenses only); Nationality eligibility not stated; Right-to-work requirement unclear; Needs an official source (current: lesopportunites.com)</t>
  </si>
  <si>
    <t xml:space="preserve">OP-099</t>
  </si>
  <si>
    <t xml:space="preserve">London Secretariat internships (e.g. Global Communications Intern)</t>
  </si>
  <si>
    <t xml:space="preserve">London Secretariat internships (e.g. Global Communications Intern): internship at International Planned Parenthood Federation; 3 months, extendable; Paid; for Students and graduates.</t>
  </si>
  <si>
    <t xml:space="preserve">3 months, extendable</t>
  </si>
  <si>
    <t xml:space="preserve">OP-100</t>
  </si>
  <si>
    <t xml:space="preserve">Volunteer internships at Cambridge Secretariat</t>
  </si>
  <si>
    <t xml:space="preserve">Volunteer internships at Cambridge Secretariat: internship at BirdLife International; About 6-8 weeks (examples); Unpaid volunteer; some interns funded by university bursaries; for Students and graduates.</t>
  </si>
  <si>
    <t xml:space="preserve">Unpaid volunteer; some interns funded by university bursaries</t>
  </si>
  <si>
    <t xml:space="preserve">About 6-8 weeks (examples)</t>
  </si>
  <si>
    <t xml:space="preserve">https://www.conservation-careers.com/job/birdlife-international-cambridge-united-kingdom-1660-business-and-nature-team-internship-volunteer/</t>
  </si>
  <si>
    <t xml:space="preserve">Not funded (unpaid or expenses only); Nationality eligibility not stated; Right-to-work requirement unclear; Needs an official source (current: conservation-careers.com)</t>
  </si>
  <si>
    <t xml:space="preserve">OP-101</t>
  </si>
  <si>
    <t xml:space="preserve">Post-conference placements via Student Conference on Conservation Science</t>
  </si>
  <si>
    <t xml:space="preserve">Post-conference placements via Student Conference on Conservation Science: internship at BirdLife International; Up to 1 month; Funded by the SCCS internship scheme; for Early-career conservationists from developing countries and eastern Europe.</t>
  </si>
  <si>
    <t xml:space="preserve">Early-career conservationists from developing countries and eastern Europe</t>
  </si>
  <si>
    <t xml:space="preserve">Funded by the SCCS internship scheme (amount not stated)</t>
  </si>
  <si>
    <t xml:space="preserve">Up to 1 month</t>
  </si>
  <si>
    <t xml:space="preserve">https://birdwatch.by/index.php/news/648</t>
  </si>
  <si>
    <t xml:space="preserve">Not open to all nationalities (Developing countries, eastern Europe); Needs an official source (current: birdwatch.by); Source is dated</t>
  </si>
  <si>
    <t xml:space="preserve">OP-102</t>
  </si>
  <si>
    <t xml:space="preserve">Paid internships (Cambridge)</t>
  </si>
  <si>
    <t xml:space="preserve">Paid internships (Cambridge): internship at Fauna &amp; Flora; 3 months; Paid (around GBP 18,000 pro rata in 2021); for People new to the conservation sector.</t>
  </si>
  <si>
    <t xml:space="preserve">People new to the conservation sector</t>
  </si>
  <si>
    <t xml:space="preserve">Paid (around GBP 18,000 pro rata in 2021)</t>
  </si>
  <si>
    <t xml:space="preserve">https://www.conservation-careers.com/job/conservation-leadership-programme-clp-internship/</t>
  </si>
  <si>
    <t xml:space="preserve">OP-036</t>
  </si>
  <si>
    <t xml:space="preserve">Internship Programme (Nigeria)</t>
  </si>
  <si>
    <t xml:space="preserve">Internship Programme (Nigeria): internship at International Alert; 6 months; Unclear; for Young professionals.</t>
  </si>
  <si>
    <t xml:space="preserve">Young professionals</t>
  </si>
  <si>
    <t xml:space="preserve">https://www.myjobmag.com/jobs/internship-programme-at-international-alert</t>
  </si>
  <si>
    <t xml:space="preserve">Not open to all nationalities (Nigerian nationals, in Nigeria); Funding not confirmed; Needs an official source (current: myjobmag.com)</t>
  </si>
  <si>
    <t xml:space="preserve">OP-029</t>
  </si>
  <si>
    <t xml:space="preserve">Research internships (Policy and Advocacy)</t>
  </si>
  <si>
    <t xml:space="preserve">Research internships (Policy and Advocacy): internship at Minority Rights Group International; Not stated; Unpaid; £16.50 per office day for travel and meals; for Postgraduate students.</t>
  </si>
  <si>
    <t xml:space="preserve">Postgraduate students</t>
  </si>
  <si>
    <t xml:space="preserve">Unpaid; £16.50 per office day for travel and meals</t>
  </si>
  <si>
    <t xml:space="preserve">Not funded (unpaid or expenses only); Right-to-work requirement unclear; Duration not stated</t>
  </si>
  <si>
    <t xml:space="preserve">OP-035</t>
  </si>
  <si>
    <t xml:space="preserve">Law Programme internships</t>
  </si>
  <si>
    <t xml:space="preserve">Law Programme internships: internship at ARTICLE 19; About one semester; Expenses: up to £10 travel and £5 lunch per day; for Law students and graduates.</t>
  </si>
  <si>
    <t xml:space="preserve">Law students and graduates</t>
  </si>
  <si>
    <t xml:space="preserve">Expenses: up to £10 travel and £5 lunch per day</t>
  </si>
  <si>
    <t xml:space="preserve">About one semester</t>
  </si>
  <si>
    <t xml:space="preserve">Not funded (unpaid or expenses only); Requires existing right to live or work in host country; Duration not stated</t>
  </si>
  <si>
    <t xml:space="preserve">OP-103</t>
  </si>
  <si>
    <t xml:space="preserve">Paid internships (London or Brussels)</t>
  </si>
  <si>
    <t xml:space="preserve">Paid internships (London or Brussels): internship at Global Witness; 3 months; Paid; for Early-career.</t>
  </si>
  <si>
    <t xml:space="preserve">London / Brussels</t>
  </si>
  <si>
    <t xml:space="preserve">United Kingdom / Belgium</t>
  </si>
  <si>
    <t xml:space="preserve">https://jobsin.brussels/jobs/global-witness-intern-corporate-accountability/</t>
  </si>
  <si>
    <t xml:space="preserve">OP-104</t>
  </si>
  <si>
    <t xml:space="preserve">Internships (location varies)</t>
  </si>
  <si>
    <t xml:space="preserve">Internships (location varies): internship at Plan International; Varies; Unclear; for Students and graduates.</t>
  </si>
  <si>
    <t xml:space="preserve">Unconfirmed</t>
  </si>
  <si>
    <t xml:space="preserve">https://untalent.org/jobs/program-intern-3</t>
  </si>
  <si>
    <t xml:space="preserve">OP-105</t>
  </si>
  <si>
    <t xml:space="preserve">Internships at Haywards Heath head office</t>
  </si>
  <si>
    <t xml:space="preserve">Internships at Haywards Heath head office: internship at Sightsavers; Up to 6 months (fixed-term contracts); Paid contract; for Students and graduates.</t>
  </si>
  <si>
    <t xml:space="preserve">Paid contract (amount not stated)</t>
  </si>
  <si>
    <t xml:space="preserve">Up to 6 months (fixed-term contracts)</t>
  </si>
  <si>
    <t xml:space="preserve">https://jobs.thirdsector.co.uk/job/433399/finance-and-risk-intern-6-month-contract/</t>
  </si>
  <si>
    <t xml:space="preserve">OP-106</t>
  </si>
  <si>
    <t xml:space="preserve">Programme Associate internship (with Jersey Overseas Aid)</t>
  </si>
  <si>
    <t xml:space="preserve">Programme Associate internship (with Jersey Overseas Aid): internship at HelpAge International; 12 months with HelpAge (London, then overseas); Entry-level salary; for Jersey residents.</t>
  </si>
  <si>
    <t xml:space="preserve">Jersey residents</t>
  </si>
  <si>
    <t xml:space="preserve">Entry-level salary (amount not stated)</t>
  </si>
  <si>
    <t xml:space="preserve">12 months with HelpAge (London, then overseas)</t>
  </si>
  <si>
    <t xml:space="preserve">https://joa.je/news-blogs/2025/jersey-overseas-aid-launches-internship-in-partnership-with-helpage-international/</t>
  </si>
  <si>
    <t xml:space="preserve">v1: Jersey residents only; 12 months; Not open to all nationalities (Jersey residents only); Longer than 6 months (48 weeks); Needs an official source (current: joa.je)</t>
  </si>
  <si>
    <t xml:space="preserve">EU-047</t>
  </si>
  <si>
    <t xml:space="preserve">Blue Book Traineeship</t>
  </si>
  <si>
    <t xml:space="preserve">Blue Book Traineeship: traineeship at European Commission; 5 months (March-July or October-February); EUR 1,538.16 per month (2027 session) plus travel and visa reimbursement.</t>
  </si>
  <si>
    <t xml:space="preserve">Any</t>
  </si>
  <si>
    <t xml:space="preserve">Graduates (bachelor's or higher), including master's and PhD</t>
  </si>
  <si>
    <t xml:space="preserve">Monthly grant plus travel reimbursement (official; amount published for each session) (amount not stated)</t>
  </si>
  <si>
    <t xml:space="preserve">5 months (March-July or October-February)</t>
  </si>
  <si>
    <t xml:space="preserve">Open to all EU citizens; a limited number of places in specific DGs or services for non-EU nationals (official)</t>
  </si>
  <si>
    <t xml:space="preserve">March 2027 session closed 28 Aug 2026; next registration window to be announced (official)</t>
  </si>
  <si>
    <t xml:space="preserve">EU-048</t>
  </si>
  <si>
    <t xml:space="preserve">ILO Internship Programme (Geneva)</t>
  </si>
  <si>
    <t xml:space="preserve">ILO Internship Programme (Geneva): internship at International Labour Organization (ILO); 3 to 6 months; CHF 2,450 per month plus CHF 45 per month towards medical insurance; travel at own expense.</t>
  </si>
  <si>
    <t xml:space="preserve">Master's or doctorate students, or graduates within 1 year</t>
  </si>
  <si>
    <t xml:space="preserve">CHF 2,450 per month plus CHF 45 per month towards medical insurance; travel at own expense</t>
  </si>
  <si>
    <t xml:space="preserve">3 to 6 months</t>
  </si>
  <si>
    <t xml:space="preserve">No nationality restriction in official eligibility criteria</t>
  </si>
  <si>
    <t xml:space="preserve">Internship roster opens twice a year, normally April and October (official)</t>
  </si>
  <si>
    <t xml:space="preserve">https://jobs.ilo.org/job/Geneva-Internship-on-International-Labour-Standards-Policy-1200/1189852301</t>
  </si>
  <si>
    <t xml:space="preserve">EU-049</t>
  </si>
  <si>
    <t xml:space="preserve">WIPO Graduate Internship (Category II)</t>
  </si>
  <si>
    <t xml:space="preserve">WIPO Graduate Internship (Category II): internship at World Intellectual Property Organization (WIPO); 2 to 12 months depending on position (positions of 6 months or less exist); CHF 2,170 per month (graduate category); CHF 1,645 for undergraduate category.</t>
  </si>
  <si>
    <t xml:space="preserve">Master's students and recent graduates</t>
  </si>
  <si>
    <t xml:space="preserve">CHF 2,170 per month (graduate category); CHF 1,645 for undergraduate category</t>
  </si>
  <si>
    <t xml:space="preserve">2 to 12 months depending on position (positions of 6 months or less exist)</t>
  </si>
  <si>
    <t xml:space="preserve">No nationality restriction in official eligibility criteria; older flyer mentions some slots reserved for specific nationals</t>
  </si>
  <si>
    <t xml:space="preserve">EU-050</t>
  </si>
  <si>
    <t xml:space="preserve">WTO Internship Programme</t>
  </si>
  <si>
    <t xml:space="preserve">WTO Internship Programme: internship at World Trade Organization (WTO); Up to 6 months; CHF 60 per day (CHF 90 for some programmes); travel not covered.</t>
  </si>
  <si>
    <t xml:space="preserve">Post-graduate students and recent graduates</t>
  </si>
  <si>
    <t xml:space="preserve">Per day</t>
  </si>
  <si>
    <t xml:space="preserve">CHF 60 per day including weekends (CHF 90 for China LDC and Accessions programme); travel not covered</t>
  </si>
  <si>
    <t xml:space="preserve">Up to 6 months</t>
  </si>
  <si>
    <t xml:space="preserve">Nationals of WTO members, observers and acceding countries (near-universal, counted as open to all)</t>
  </si>
  <si>
    <t xml:space="preserve">EU-051</t>
  </si>
  <si>
    <t xml:space="preserve">ITU internships</t>
  </si>
  <si>
    <t xml:space="preserve">ITU internships: internship at International Telecommunication Union (ITU); Up to 6 months; Unpaid internship.</t>
  </si>
  <si>
    <t xml:space="preserve">Students and graduates within 6 months</t>
  </si>
  <si>
    <t xml:space="preserve">Unpaid internship</t>
  </si>
  <si>
    <t xml:space="preserve">Citizens of ITU Member States (near-universal, counted as open to all)</t>
  </si>
  <si>
    <t xml:space="preserve">Not funded</t>
  </si>
  <si>
    <t xml:space="preserve">EU-052</t>
  </si>
  <si>
    <t xml:space="preserve">OECD Internship Programme</t>
  </si>
  <si>
    <t xml:space="preserve">OECD Internship Programme: internship at Organisation for Economic Co-operation and Development (OECD); 1 to 6 months, renewable up to 12; EUR 1,000 per full month worked (Paris).</t>
  </si>
  <si>
    <t xml:space="preserve">Bachelor's, master's and PhD students enrolled throughout</t>
  </si>
  <si>
    <t xml:space="preserve">Monthly allowance (EUR 1,000 per full month in Paris reported by secondary sources) (amount not stated)</t>
  </si>
  <si>
    <t xml:space="preserve">1 to 6 months, renewable up to 12</t>
  </si>
  <si>
    <t xml:space="preserve">Primarily OECD member nationals; open to non-member nationals for specific programmes and projects (official FAQ)</t>
  </si>
  <si>
    <t xml:space="preserve">https://www.oecd.org/careers/OECD-Internship-FAQS.pdf</t>
  </si>
  <si>
    <t xml:space="preserve">EU-053</t>
  </si>
  <si>
    <t xml:space="preserve">IAEA Internship Programme</t>
  </si>
  <si>
    <t xml:space="preserve">IAEA Internship Programme: internship at International Atomic Energy Agency (IAEA); 3 to 12 months; EUR 1,450 per month plus one-time travel lump sum.</t>
  </si>
  <si>
    <t xml:space="preserve">Students and graduates within 12 months</t>
  </si>
  <si>
    <t xml:space="preserve">Monthly stipend for full-time interns; official pages differ (EUR 1,000 on the English conditions page, EUR 1,450 on the Spanish page) - check current vacancy (amount not stated)</t>
  </si>
  <si>
    <t xml:space="preserve">3 to 12 months (assignments of 6 months or less exist)</t>
  </si>
  <si>
    <t xml:space="preserve">Nationals of IAEA Member States (near-universal, counted as open to all)</t>
  </si>
  <si>
    <t xml:space="preserve">EU-054</t>
  </si>
  <si>
    <t xml:space="preserve">UNIDO Internship Programme (Vienna)</t>
  </si>
  <si>
    <t xml:space="preserve">UNIDO Internship Programme (Vienna): internship at United Nations Industrial Development Organization (UNIDO); 3 to 6 months; Monthly stipend based on duty station (introduced September 2025); amount not published in source.</t>
  </si>
  <si>
    <t xml:space="preserve">Monthly stipend based on duty station (since September 2025); visa support letter (official) (amount not stated)</t>
  </si>
  <si>
    <t xml:space="preserve">Nationals of UNIDO Member States (about 172; counted as near-universal; some countries such as the US and UK are not members)</t>
  </si>
  <si>
    <t xml:space="preserve">EU-055</t>
  </si>
  <si>
    <t xml:space="preserve">UNESCO standard internships</t>
  </si>
  <si>
    <t xml:space="preserve">UNESCO standard internships: internship at United Nations Educational, Scientific and Cultural Organization (UNESCO); Varies; Usually unpaid (paid exceptions for member-state-sponsored placements).</t>
  </si>
  <si>
    <t xml:space="preserve">Usually unpaid (paid exceptions for member-state-sponsored placements)</t>
  </si>
  <si>
    <t xml:space="preserve">https://pathlins.com/scholarships/united-nations-internship-programme-202627</t>
  </si>
  <si>
    <t xml:space="preserve">Not funded; Nationality eligibility not stated; Right-to-work requirement unclear; Needs an official source (current: pathlins.com)</t>
  </si>
  <si>
    <t xml:space="preserve">EU-056</t>
  </si>
  <si>
    <t xml:space="preserve">UN Secretariat Internship Programme</t>
  </si>
  <si>
    <t xml:space="preserve">UN Secretariat Internship Programme: internship at United Nations Secretariat (UN Office at Geneva and Vienna); 2 to 6 months; Historically unpaid.</t>
  </si>
  <si>
    <t xml:space="preserve">Master's and PhD students, recent graduates</t>
  </si>
  <si>
    <t xml:space="preserve">Historically unpaid</t>
  </si>
  <si>
    <t xml:space="preserve">2 to 6 months</t>
  </si>
  <si>
    <t xml:space="preserve">EU-057</t>
  </si>
  <si>
    <t xml:space="preserve">Technical Student Programme</t>
  </si>
  <si>
    <t xml:space="preserve">Technical Student Programme: traineeship at European Organization for Nuclear Research (CERN); 4 to 12 months (some pages say up to 14); CHF 3,407 per month net (one section's page); travel to Geneva covered depending on circumstances.</t>
  </si>
  <si>
    <t xml:space="preserve">Bachelor's or master's students (PhD students not eligible)</t>
  </si>
  <si>
    <t xml:space="preserve">CHF 3,407 per month net (one section's page); travel to Geneva covered depending on circumstances</t>
  </si>
  <si>
    <t xml:space="preserve">4 to 12 months (some pages say up to 14)</t>
  </si>
  <si>
    <t xml:space="preserve">https://ccs-public-html.app.cern.ch/assets/section-website/jobs.html</t>
  </si>
  <si>
    <t xml:space="preserve">Not open to all nationalities (Nationals of CERN Member or Associate Member States only); Longer than 6 months (52 weeks)</t>
  </si>
  <si>
    <t xml:space="preserve">EU-058</t>
  </si>
  <si>
    <t xml:space="preserve">Short Term Internships</t>
  </si>
  <si>
    <t xml:space="preserve">Short Term Internships: internship at European Organization for Nuclear Research (CERN); 2 months, up to 6 possible; CHF 1,577 per month net.</t>
  </si>
  <si>
    <t xml:space="preserve">Bachelor's or master's students</t>
  </si>
  <si>
    <t xml:space="preserve">CHF 1,577 per month net</t>
  </si>
  <si>
    <t xml:space="preserve">1 to 6 months (official)</t>
  </si>
  <si>
    <t xml:space="preserve">Nationals of CERN Member or Associate Member States only (official)</t>
  </si>
  <si>
    <t xml:space="preserve">https://careers.cern/?p=749</t>
  </si>
  <si>
    <t xml:space="preserve">Not open to all nationalities (CERN Member and Associate Member States only)</t>
  </si>
  <si>
    <t xml:space="preserve">EU-059</t>
  </si>
  <si>
    <t xml:space="preserve">UNHCR Headquarters internships (Geneva)</t>
  </si>
  <si>
    <t xml:space="preserve">UNHCR Headquarters internships (Geneva): internship at United Nations High Commissioner for Refugees (UNHCR); Typically 2-6 months; maximum 8 months cumulative (full-time); Food and local transport allowance (amount not in source).</t>
  </si>
  <si>
    <t xml:space="preserve">Current students or graduates within 2 years</t>
  </si>
  <si>
    <t xml:space="preserve">Allowance for interns without outside funding: 50% of the net GS-3 step 1 salary in H duty stations such as Geneva, 70% elsewhere; return travel reimbursed for interns recruited from outside the duty-station country (official)</t>
  </si>
  <si>
    <t xml:space="preserve">Typically 2-6 months; maximum 8 months cumulative (full-time)</t>
  </si>
  <si>
    <t xml:space="preserve">No nationality restriction (official eligibility)</t>
  </si>
  <si>
    <t xml:space="preserve">Geneva (also Copenhagen and Budapest service centres)</t>
  </si>
  <si>
    <t xml:space="preserve">Switzerland / Denmark / Hungary</t>
  </si>
  <si>
    <t xml:space="preserve">EU-060</t>
  </si>
  <si>
    <t xml:space="preserve">UNICEF internships (Geneva and Copenhagen)</t>
  </si>
  <si>
    <t xml:space="preserve">UNICEF internships (Geneva and Copenhagen): internship at United Nations Children's Fund (UNICEF); 6 to 26 weeks; Up to USD 1,700 per month in Geneva/Copenhagen; one-time travel and visa lump sum reported.</t>
  </si>
  <si>
    <t xml:space="preserve">Undergraduate, graduate or PhD students, or recent graduates</t>
  </si>
  <si>
    <t xml:space="preserve">Stipend for all interns, paid by UNICEF or a partner; one-time travel/visa lump sum when funding allows (official FAQ; amount varies by duty station) (amount not stated)</t>
  </si>
  <si>
    <t xml:space="preserve">6 to 26 weeks (official FAQ)</t>
  </si>
  <si>
    <t xml:space="preserve">No nationality restriction found; vacancies encourage all nationalities</t>
  </si>
  <si>
    <t xml:space="preserve">Geneva / Copenhagen</t>
  </si>
  <si>
    <t xml:space="preserve">Switzerland / Denmark</t>
  </si>
  <si>
    <t xml:space="preserve">https://www.unicef.org/careers/frequently-asked-questions-internships</t>
  </si>
  <si>
    <t xml:space="preserve">EU-061</t>
  </si>
  <si>
    <t xml:space="preserve">WFP Headquarters internships (Rome)</t>
  </si>
  <si>
    <t xml:space="preserve">WFP Headquarters internships (Rome): internship at United Nations World Food Programme (WFP); Usually 6 months (some postings 3-8 months); Up to USD 1,000 per month depending on duty station.</t>
  </si>
  <si>
    <t xml:space="preserve">Graduate students, undergraduates after 2 years, graduates within 6 months</t>
  </si>
  <si>
    <t xml:space="preserve">USD</t>
  </si>
  <si>
    <t xml:space="preserve">Stipend up to USD 1,000 per month by duty station; medical and accident insurance; travel for nationals of developing economies studying at home; visa support</t>
  </si>
  <si>
    <t xml:space="preserve">2 to 8 months (assignments of 6 months or less exist)</t>
  </si>
  <si>
    <t xml:space="preserve">No nationality restriction in official eligibility</t>
  </si>
  <si>
    <t xml:space="preserve">EU-062</t>
  </si>
  <si>
    <t xml:space="preserve">FAO Internship Programme (Rome HQ)</t>
  </si>
  <si>
    <t xml:space="preserve">FAO Internship Programme (Rome HQ): internship at Food and Agriculture Organization of the United Nations (FAO); 3 to 11 months (assignments of 6 months or less exist); Monthly stipend (about USD 700 reported) if not sponsored by a university.</t>
  </si>
  <si>
    <t xml:space="preserve">Undergraduate or graduate students, or recent graduates; age 21-30 at start (official)</t>
  </si>
  <si>
    <t xml:space="preserve">Monthly stipend if not sponsored by a university (official); up to USD 700 per month reported by secondary sources (amount not stated)</t>
  </si>
  <si>
    <t xml:space="preserve">3 to 11 months (assignments of 6 months or less exist)</t>
  </si>
  <si>
    <t xml:space="preserve">Nationals of FAO Members (about 195 members; near-universal, counted as open to all)</t>
  </si>
  <si>
    <t xml:space="preserve">EU-063</t>
  </si>
  <si>
    <t xml:space="preserve">IFAD Internship Programme / Enhanced Internship Programme</t>
  </si>
  <si>
    <t xml:space="preserve">IFAD Internship Programme / Enhanced Internship Programme: internship at International Fund for Agricultural Development (IFAD); 6 months; Monthly allowance; Enhanced programme adds housing and travel allowances.</t>
  </si>
  <si>
    <t xml:space="preserve">Students (2+ years of undergraduate study) or recent graduates, aged 30 or under (official)</t>
  </si>
  <si>
    <t xml:space="preserve">Monthly allowance; Enhanced Internship Programme adds housing and travel support (official; amount set per vacancy) (amount not stated)</t>
  </si>
  <si>
    <t xml:space="preserve">Nationals of IFAD Member States (near-universal, counted as open to all)</t>
  </si>
  <si>
    <t xml:space="preserve">EU-064</t>
  </si>
  <si>
    <t xml:space="preserve">Gavi Internship Programme (Geneva)</t>
  </si>
  <si>
    <t xml:space="preserve">Gavi Internship Programme (Geneva): internship at Gavi, the Vaccine Alliance; 6 to 24 weeks; Fixed stipend for interns not sponsored by their university; travel at own cost.</t>
  </si>
  <si>
    <t xml:space="preserve">Undergraduate or postgraduate students, or graduates within 12 months</t>
  </si>
  <si>
    <t xml:space="preserve">Fixed stipend for interns not sponsored by their university; travel at own cost (amount not stated)</t>
  </si>
  <si>
    <t xml:space="preserve">6 to 24 weeks</t>
  </si>
  <si>
    <t xml:space="preserve">Open to candidates from anywhere</t>
  </si>
  <si>
    <t xml:space="preserve">EU-065</t>
  </si>
  <si>
    <t xml:space="preserve">Global Fund Secretariat internships (Geneva)</t>
  </si>
  <si>
    <t xml:space="preserve">Global Fund Secretariat internships (Geneva): internship at The Global Fund to Fight AIDS, Tuberculosis and Malaria; Not stated; CHF 2,000 per month (2016 notice).</t>
  </si>
  <si>
    <t xml:space="preserve">Students and recent graduates, minimum age 20</t>
  </si>
  <si>
    <t xml:space="preserve">CHF 2,000 per month (2016 notice)</t>
  </si>
  <si>
    <t xml:space="preserve">https://www.bu.edu/ghblast/2016/10/17/call-for-internship-applications</t>
  </si>
  <si>
    <t xml:space="preserve">EU-066</t>
  </si>
  <si>
    <t xml:space="preserve">ICRC headquarters traineeships (e.g. Legal Division)</t>
  </si>
  <si>
    <t xml:space="preserve">ICRC headquarters traineeships (e.g. Legal Division): traineeship at International Committee of the Red Cross (ICRC); 12 months; Gross CHF 3,917 per month (2026 listing).</t>
  </si>
  <si>
    <t xml:space="preserve">Gross CHF 3,917 per month (2026 listing)</t>
  </si>
  <si>
    <t xml:space="preserve">12 months</t>
  </si>
  <si>
    <t xml:space="preserve">EU and non-EU candidates; ICRC arranges Swiss permit</t>
  </si>
  <si>
    <t xml:space="preserve">https://opportunitiescorners.com/icrc-traineeship-in-switzerland/</t>
  </si>
  <si>
    <t xml:space="preserve">Longer than 6 months (52 weeks); Needs an official source (current: opportunitiescorners.com)</t>
  </si>
  <si>
    <t xml:space="preserve">EU-067</t>
  </si>
  <si>
    <t xml:space="preserve">ICRC internships (Geneva)</t>
  </si>
  <si>
    <t xml:space="preserve">ICRC internships (Geneva): internship at International Committee of the Red Cross (ICRC); 3 to 6 months; CHF 2,000 per month (listing site).</t>
  </si>
  <si>
    <t xml:space="preserve">Master's students or recent graduates</t>
  </si>
  <si>
    <t xml:space="preserve">CHF 2,000 per month (listing site)</t>
  </si>
  <si>
    <t xml:space="preserve">Confirm nationality and right-to-work terms in the current vacancy notice before applying.</t>
  </si>
  <si>
    <t xml:space="preserve">https://scholyhub.com/internships/red-cross-icrc-internship-2027/</t>
  </si>
  <si>
    <t xml:space="preserve">Unconfirmable: no official internship page found, only a listing site; ICRC traineeships (12 months) recorded separately (decision 9 Oct 2026)</t>
  </si>
  <si>
    <t xml:space="preserve">EU-068</t>
  </si>
  <si>
    <t xml:space="preserve">IFRC Internship Programme (Geneva)</t>
  </si>
  <si>
    <t xml:space="preserve">IFRC Internship Programme (Geneva): internship at International Federation of Red Cross and Red Crescent Societies (IFRC); Not stated; Stipend set by HR in Geneva (CHF 75 per day in a 2015 notice).</t>
  </si>
  <si>
    <t xml:space="preserve">Stipend set by HR in Geneva or the relevant zone office (programme text); CHF 75 per day in a 2018 Geneva posting (reported)</t>
  </si>
  <si>
    <t xml:space="preserve">Unverified</t>
  </si>
  <si>
    <t xml:space="preserve">Nationality and duration terms appear only in individual vacancy notices</t>
  </si>
  <si>
    <t xml:space="preserve">EU-069</t>
  </si>
  <si>
    <t xml:space="preserve">EMBL Corporate Partnership Programme (CPP) Fellowships</t>
  </si>
  <si>
    <t xml:space="preserve">EMBL Corporate Partnership Programme (CPP) Fellowships: fellowship at European Molecular Biology Laboratory (EMBL); 1 to 6 months; Up to EUR 2,000 towards travel and accommodation (co-funding).</t>
  </si>
  <si>
    <t xml:space="preserve">PhD students and postdoctoral fellows</t>
  </si>
  <si>
    <t xml:space="preserve">Up to EUR 2,000 towards travel and accommodation (co-funding)</t>
  </si>
  <si>
    <t xml:space="preserve">Open regardless of country of origin</t>
  </si>
  <si>
    <t xml:space="preserve">Quarterly selection (every three months)</t>
  </si>
  <si>
    <t xml:space="preserve">EU-070</t>
  </si>
  <si>
    <t xml:space="preserve">Theory@EMBL fellowships</t>
  </si>
  <si>
    <t xml:space="preserve">Theory@EMBL fellowships: fellowship at European Molecular Biology Laboratory (EMBL); Not stated; Visit funding; monthly subsistence for undergraduates.</t>
  </si>
  <si>
    <t xml:space="preserve">PIs, postdocs, PhD, bachelor's and master's students</t>
  </si>
  <si>
    <t xml:space="preserve">Travel (capped by home-country), visa costs and accommodation (EMBL guesthouse or rent support) (official) (amount not stated)</t>
  </si>
  <si>
    <t xml:space="preserve">Up to 6 months (3 weeks to 6 months; undergraduates up to 1 year)</t>
  </si>
  <si>
    <t xml:space="preserve">No nationality restriction stated</t>
  </si>
  <si>
    <t xml:space="preserve">2026-12-31 (quarterly: 31 Mar, 30 Jun, 30 Sep, 31 Dec)</t>
  </si>
  <si>
    <t xml:space="preserve">https://www.embl.org/about/info/scientific-visitor-programme/theoryembl/</t>
  </si>
  <si>
    <t xml:space="preserve">EU-071</t>
  </si>
  <si>
    <t xml:space="preserve">EMBL-UNESCO Residency in Infection Biology</t>
  </si>
  <si>
    <t xml:space="preserve">EMBL-UNESCO Residency in Infection Biology: fellowship at European Molecular Biology Laboratory (EMBL); Not stated; Visa, travel and accommodation covered.</t>
  </si>
  <si>
    <t xml:space="preserve">Advanced women PhD fellows, postdocs, group leaders</t>
  </si>
  <si>
    <t xml:space="preserve">Visa, travel and accommodation covered (amount not stated)</t>
  </si>
  <si>
    <t xml:space="preserve">Women researchers with a primary affiliation in Africa</t>
  </si>
  <si>
    <t xml:space="preserve">https://www.embl.org/about/info/scientific-visitor-programme/fellowships/embl-unesco-fellowships</t>
  </si>
  <si>
    <t xml:space="preserve">Not open to all nationalities (Women researchers with a primary affiliation in Africa); Duration not stated</t>
  </si>
  <si>
    <t xml:space="preserve">EU-072</t>
  </si>
  <si>
    <t xml:space="preserve">EMBO Scientific Exchange Grants</t>
  </si>
  <si>
    <t xml:space="preserve">EMBO Scientific Exchange Grants: travel grant at European Molecular Biology Organization (EMBO); 1 week to 3 months (visit may extend to 6 months unfunded); Travel plus subsistence at host-country rate.</t>
  </si>
  <si>
    <t xml:space="preserve">PhD students and postdocs in life sciences</t>
  </si>
  <si>
    <t xml:space="preserve">Travel plus subsistence at host-country rate (amount not stated)</t>
  </si>
  <si>
    <t xml:space="preserve">1 week to 3 months (visit may extend to 6 months unfunded)</t>
  </si>
  <si>
    <t xml:space="preserve">No nationality rule; home and host labs must be in EMBC Member States or global partners (Chile, India, Singapore, Taiwan); exceptions possible (official)</t>
  </si>
  <si>
    <t xml:space="preserve">EU-073</t>
  </si>
  <si>
    <t xml:space="preserve">Young Scientists Summer Program (YSSP)</t>
  </si>
  <si>
    <t xml:space="preserve">Young Scientists Summer Program (YSSP): fellowship at International Institute for Applied Systems Analysis (IIASA); 3 months (1 June to 28 August 2027); Member Organization grants; limited IIASA funds for exceptional applicants from non-member countries; no fee.</t>
  </si>
  <si>
    <t xml:space="preserve">Advanced PhD students</t>
  </si>
  <si>
    <t xml:space="preserve">Funded through IIASA National Member Organizations and scholarships (official); NMO grants about EUR 1,300-1,700 per month reported; limited IIASA funds for non-member countries (amount not stated)</t>
  </si>
  <si>
    <t xml:space="preserve">3 months (1 June to 28 August 2027)</t>
  </si>
  <si>
    <t xml:space="preserve">All countries welcome; priority and most funding for citizens or residents of Member Organization countries</t>
  </si>
  <si>
    <t xml:space="preserve">2027-01-15</t>
  </si>
  <si>
    <t xml:space="preserve">EU-074</t>
  </si>
  <si>
    <t xml:space="preserve">HECAP Short-term Visits</t>
  </si>
  <si>
    <t xml:space="preserve">HECAP Short-term Visits: travel grant at Abdus Salam International Centre for Theoretical Physics (ICTP); Up to 3 months; Grants for short-term research visits (amount not stated).</t>
  </si>
  <si>
    <t xml:space="preserve">Graduate and PhD students, postdocs, scientists</t>
  </si>
  <si>
    <t xml:space="preserve">Grants for short-term research visits (amount not stated)</t>
  </si>
  <si>
    <t xml:space="preserve">Up to 3 months</t>
  </si>
  <si>
    <t xml:space="preserve">Scientists from developing countries encouraged; not restricted</t>
  </si>
  <si>
    <t xml:space="preserve">EU-075</t>
  </si>
  <si>
    <t xml:space="preserve">Condensed Matter and Statistical Physics Short-term Visits</t>
  </si>
  <si>
    <t xml:space="preserve">Condensed Matter and Statistical Physics Short-term Visits: travel grant at Abdus Salam International Centre for Theoretical Physics (ICTP); Up to 1 month; Grants for short-term visits (amount not stated).</t>
  </si>
  <si>
    <t xml:space="preserve">PhD students, young and senior scientists</t>
  </si>
  <si>
    <t xml:space="preserve">Grants for short-term visits (amount not stated)</t>
  </si>
  <si>
    <t xml:space="preserve">Usually mid-December (annual call; 2027 call not yet published)</t>
  </si>
  <si>
    <t xml:space="preserve">https://www.ictp.it/opportunity/2024-short-term-visits</t>
  </si>
  <si>
    <t xml:space="preserve">EU-076</t>
  </si>
  <si>
    <t xml:space="preserve">OPCW Internship Programme</t>
  </si>
  <si>
    <t xml:space="preserve">OPCW Internship Programme: internship at Organisation for the Prohibition of Chemical Weapons (OPCW); 3 to 6 months; EUR 540 per month.</t>
  </si>
  <si>
    <t xml:space="preserve">Undergraduate and graduate students, graduates within 1 year</t>
  </si>
  <si>
    <t xml:space="preserve">EUR 540 per month</t>
  </si>
  <si>
    <t xml:space="preserve">Nationals of States Parties to the Chemical Weapons Convention (193 states; near-universal, counted as open to all)</t>
  </si>
  <si>
    <t xml:space="preserve">EU-077</t>
  </si>
  <si>
    <t xml:space="preserve">Internship and Visiting Professional Programme</t>
  </si>
  <si>
    <t xml:space="preserve">Internship and Visiting Professional Programme: internship at International Criminal Court (ICC); Up to 6 months; Unpaid; limited trust-fund stipends for nationals of States Parties from developing regions.</t>
  </si>
  <si>
    <t xml:space="preserve">Early-career law and international relations graduates</t>
  </si>
  <si>
    <t xml:space="preserve">Unpaid; limited trust-fund stipends for nationals of States Parties from developing regions</t>
  </si>
  <si>
    <t xml:space="preserve">Funded places only for nationals of States Parties from developing regions</t>
  </si>
  <si>
    <t xml:space="preserve">https://impactpool.org/jobs/518362</t>
  </si>
  <si>
    <t xml:space="preserve">Not funded; Not open to all nationalities (Funded places only for nationals of States Parties from developing regions); Needs an official source (current: impactpool.org)</t>
  </si>
  <si>
    <t xml:space="preserve">EU-078</t>
  </si>
  <si>
    <t xml:space="preserve">Summer Research Graduate Programme (PhD traineeship)</t>
  </si>
  <si>
    <t xml:space="preserve">Summer Research Graduate Programme (PhD traineeship): traineeship at European Central Bank (ECB); 3 months (summer); EUR 2,120 per month plus accommodation allowance (2024).</t>
  </si>
  <si>
    <t xml:space="preserve">PhD students with 2+ years of PhD study</t>
  </si>
  <si>
    <t xml:space="preserve">EUR 2,120 per month plus accommodation allowance (2024)</t>
  </si>
  <si>
    <t xml:space="preserve">3 months (summer)</t>
  </si>
  <si>
    <t xml:space="preserve">EU nationals only</t>
  </si>
  <si>
    <t xml:space="preserve">Not open to all nationalities (EU nationals only)</t>
  </si>
  <si>
    <t xml:space="preserve">EU-079</t>
  </si>
  <si>
    <t xml:space="preserve">Schuman Traineeship</t>
  </si>
  <si>
    <t xml:space="preserve">Schuman Traineeship: traineeship at European Parliament; 5 months (1 March-31 July or 1 October-end February); Monthly grant (about EUR 1,200-1,900 reported).</t>
  </si>
  <si>
    <t xml:space="preserve">University graduates</t>
  </si>
  <si>
    <t xml:space="preserve">Monthly grant (about EUR 1,400-1,500 reported for 2026), adjusted by location (amount not stated)</t>
  </si>
  <si>
    <t xml:space="preserve">5 months (1 March-31 July or 1 October-end February)</t>
  </si>
  <si>
    <t xml:space="preserve">EU nationals; a very limited number of traineeships can be offered to nationals of other countries (official, ep-stages.gestmax.eu)</t>
  </si>
  <si>
    <t xml:space="preserve">2026-10-31</t>
  </si>
  <si>
    <t xml:space="preserve">https://eu-careers.europa.eu/sites/default/files/2024-05/info-flyer-schuman-traineeships.pdf</t>
  </si>
  <si>
    <t xml:space="preserve">EU-080</t>
  </si>
  <si>
    <t xml:space="preserve">OSCE Secretariat internships</t>
  </si>
  <si>
    <t xml:space="preserve">OSCE Secretariat internships: internship at Organization for Security and Co-operation in Europe (OSCE); 2 to 6 months; Contribution to living costs for non-residents of Vienna.</t>
  </si>
  <si>
    <t xml:space="preserve">Contribution to living costs for non-residents of Vienna (amount not stated)</t>
  </si>
  <si>
    <t xml:space="preserve">Nationals of OSCE participating States and Partners for Co-operation only</t>
  </si>
  <si>
    <t xml:space="preserve">Not open to all nationalities (Nationals of OSCE participating States and Partners for Co-operation only)</t>
  </si>
  <si>
    <t xml:space="preserve">EU-081</t>
  </si>
  <si>
    <t xml:space="preserve">Internships at IUCN Headquarters (Gland)</t>
  </si>
  <si>
    <t xml:space="preserve">Internships at IUCN Headquarters (Gland): internship at International Union for Conservation of Nature (IUCN); Usually 6 months (some 2 months); Stipend or subsistence allowance under HQ internship guidelines (amount not in source).</t>
  </si>
  <si>
    <t xml:space="preserve">Stipend or subsistence allowance under HQ internship guidelines (amount not in source) (amount not stated)</t>
  </si>
  <si>
    <t xml:space="preserve">Usually 6 months (some 2 months)</t>
  </si>
  <si>
    <t xml:space="preserve">Nationality eligibility not stated; Right-to-work requirement unclear</t>
  </si>
  <si>
    <t xml:space="preserve">EU-082</t>
  </si>
  <si>
    <t xml:space="preserve">Summer Student Programme</t>
  </si>
  <si>
    <t xml:space="preserve">Summer Student Programme: internship at European Organization for Nuclear Research (CERN); 8 to 13 weeks (8 weeks for non-Member State nationals); Subsistence allowance and travel (amount not in source).</t>
  </si>
  <si>
    <t xml:space="preserve">CHF 93 per calendar day (tax free), health insurance, travel to Geneva depending on circumstances</t>
  </si>
  <si>
    <t xml:space="preserve">8 to 13 weeks (summer)</t>
  </si>
  <si>
    <t xml:space="preserve">Candidates of all nationalities (2026 Member and Non-Member State call)</t>
  </si>
  <si>
    <t xml:space="preserve">Late January 2027 (approx., annual)</t>
  </si>
  <si>
    <t xml:space="preserve">EU-083</t>
  </si>
  <si>
    <t xml:space="preserve">Traineeships with Members of the European Parliament (MEPs)</t>
  </si>
  <si>
    <t xml:space="preserve">Traineeships with Members of the European Parliament (MEPs): traineeship at European Parliament; 6 weeks to 5 months; EUR 858-1,407 per month for full-time trainees.</t>
  </si>
  <si>
    <t xml:space="preserve">EUR 858-1,407 per month for full-time trainees</t>
  </si>
  <si>
    <t xml:space="preserve">6 weeks to 5 months</t>
  </si>
  <si>
    <t xml:space="preserve">Mainly EU and candidate-country nationals; MEPs may offer traineeships to third-country nationals who meet visa requirements</t>
  </si>
  <si>
    <t xml:space="preserve">EU-084</t>
  </si>
  <si>
    <t xml:space="preserve">WTO Support Programme for Doctoral Studies</t>
  </si>
  <si>
    <t xml:space="preserve">WTO Support Programme for Doctoral Studies: fellowship at World Trade Organization (WTO); Not stated; Allowance plus travel to Geneva.</t>
  </si>
  <si>
    <t xml:space="preserve">PhD students working on their thesis</t>
  </si>
  <si>
    <t xml:space="preserve">Allowance plus travel to Geneva (amount not stated)</t>
  </si>
  <si>
    <t xml:space="preserve">Reserved for students from developing and least-developed countries</t>
  </si>
  <si>
    <t xml:space="preserve">https://www.impactpool.org/jobs/1129912</t>
  </si>
  <si>
    <t xml:space="preserve">Not open to all nationalities (Reserved for students from developing and least-developed countries); Duration not stated; Needs an official source (current: impactpool.org)</t>
  </si>
  <si>
    <t xml:space="preserve">EU-085</t>
  </si>
  <si>
    <t xml:space="preserve">UNFCCC secretariat internships</t>
  </si>
  <si>
    <t xml:space="preserve">UNFCCC secretariat internships: internship at United Nations Framework Convention on Climate Change secretariat (UNFCCC); 3 to 6 months; Not remunerated; intern covers all costs.</t>
  </si>
  <si>
    <t xml:space="preserve">Master's students</t>
  </si>
  <si>
    <t xml:space="preserve">Not remunerated; intern covers all costs</t>
  </si>
  <si>
    <t xml:space="preserve">All nationalities</t>
  </si>
  <si>
    <t xml:space="preserve">https://www.wur.nl/en/article/Internship-UNFCCC-communications-and-outreach-activities-related-to-NDCs.htm</t>
  </si>
  <si>
    <t xml:space="preserve">Not funded; Needs an official source (current: wur.nl)</t>
  </si>
  <si>
    <t xml:space="preserve">EU-086</t>
  </si>
  <si>
    <t xml:space="preserve">CAPACITY Fellowship Programme</t>
  </si>
  <si>
    <t xml:space="preserve">CAPACITY Fellowship Programme: fellowship at United Nations Framework Convention on Climate Change secretariat (UNFCCC); 1 year (up to 2); EUR 4,500 per month including allowances; return trip.</t>
  </si>
  <si>
    <t xml:space="preserve">Mid-career government officials</t>
  </si>
  <si>
    <t xml:space="preserve">EUR 4,500 per month including allowances; return trip</t>
  </si>
  <si>
    <t xml:space="preserve">1 year (up to 2)</t>
  </si>
  <si>
    <t xml:space="preserve">Officials from SIDS and LDCs</t>
  </si>
  <si>
    <t xml:space="preserve">https://opportunitydesk.org/?p=161811</t>
  </si>
  <si>
    <t xml:space="preserve">Not open to all nationalities (Officials from SIDS and LDCs); Longer than 6 months (52 weeks); Needs an official source (current: opportunitydesk.org)</t>
  </si>
  <si>
    <t xml:space="preserve">EU-087</t>
  </si>
  <si>
    <t xml:space="preserve">Visiting Scientist Programme</t>
  </si>
  <si>
    <t xml:space="preserve">Visiting Scientist Programme: fellowship at United Nations University (UNU) in Bonn (UNU-EHS / UNU-VIE); By agreement; No financial support; visitors bring own funding.</t>
  </si>
  <si>
    <t xml:space="preserve">PhD students, postdocs, senior scientists</t>
  </si>
  <si>
    <t xml:space="preserve">No financial support; visitors bring own funding</t>
  </si>
  <si>
    <t xml:space="preserve">By agreement</t>
  </si>
  <si>
    <t xml:space="preserve">No nationality rule</t>
  </si>
  <si>
    <t xml:space="preserve">Not funded; Duration not stated</t>
  </si>
  <si>
    <t xml:space="preserve">EU-088</t>
  </si>
  <si>
    <t xml:space="preserve">UNOPS headquarters internships (Copenhagen)</t>
  </si>
  <si>
    <t xml:space="preserve">UNOPS headquarters internships (Copenhagen): internship at United Nations Office for Project Services (UNOPS); 6 months (extension possible up to 12); Monthly stipend if not externally funded (official); USD 900 per month plus USD 500 travel lump sum in earlier Copenhagen vacancies.</t>
  </si>
  <si>
    <t xml:space="preserve">Students or graduates within 3 years</t>
  </si>
  <si>
    <t xml:space="preserve">Monthly stipend for interns not funded externally (official vacancy; amount set per duty station) (amount not stated)</t>
  </si>
  <si>
    <t xml:space="preserve">6 months (extension possible up to 12)</t>
  </si>
  <si>
    <t xml:space="preserve">No nationality requirement in official vacancy eligibility</t>
  </si>
  <si>
    <t xml:space="preserve">https://jobs.unops.org/Pages/ViewVacancy/VADetails.aspx?id=30453</t>
  </si>
  <si>
    <t xml:space="preserve">EU-089</t>
  </si>
  <si>
    <t xml:space="preserve">UNDP internships at UN City Copenhagen</t>
  </si>
  <si>
    <t xml:space="preserve">UNDP internships at UN City Copenhagen: internship at United Nations Development Programme (UNDP); 6 months; USD 1,000 per month in-person stipend if not externally funded.</t>
  </si>
  <si>
    <t xml:space="preserve">USD 1,000 per month in-person stipend if not externally funded</t>
  </si>
  <si>
    <t xml:space="preserve">No nationality restriction stated Confirm nationality and right-to-work terms in the current vacancy notice before applying.</t>
  </si>
  <si>
    <t xml:space="preserve">https://impactpool.org/jobs/1104320</t>
  </si>
  <si>
    <t xml:space="preserve">Right-to-work requirement unclear; Needs an official source (current: impactpool.org)</t>
  </si>
  <si>
    <t xml:space="preserve">EU-090</t>
  </si>
  <si>
    <t xml:space="preserve">JRC Scientific Traineeships (incl. thesis-related)</t>
  </si>
  <si>
    <t xml:space="preserve">JRC Scientific Traineeships (incl. thesis-related): traineeship at European Commission; 3 to 5 months; Monthly allowance.</t>
  </si>
  <si>
    <t xml:space="preserve">Students preparing a thesis (incl. PhD) or graduates</t>
  </si>
  <si>
    <t xml:space="preserve">Monthly allowance (amount not stated)</t>
  </si>
  <si>
    <t xml:space="preserve">3 to 5 months</t>
  </si>
  <si>
    <t xml:space="preserve">Nationals of EU Member States and countries associated to the Research Framework Programmes only (current calls)</t>
  </si>
  <si>
    <t xml:space="preserve">Geel / Ispra / Seville / Karlsruhe / Petten</t>
  </si>
  <si>
    <t xml:space="preserve">Belgium / Italy / Spain / Germany / Netherlands</t>
  </si>
  <si>
    <t xml:space="preserve">https://www.cde.ual.es/en/scientific-trainees-for-joint-research-centre-jrc/</t>
  </si>
  <si>
    <t xml:space="preserve">Not open to all nationalities (Nationals of EU Member States and countries associated to the Research Framework Programmes only (current calls)); Needs an official source (current: ual.es)</t>
  </si>
  <si>
    <t xml:space="preserve">EU-091</t>
  </si>
  <si>
    <t xml:space="preserve">EFSA Traineeship Programme</t>
  </si>
  <si>
    <t xml:space="preserve">EFSA Traineeship Programme: traineeship at European Food Safety Authority (EFSA); Up to 12 months; EUR 1,463 per month.</t>
  </si>
  <si>
    <t xml:space="preserve">EUR 1,463 per month</t>
  </si>
  <si>
    <t xml:space="preserve">Up to 12 months</t>
  </si>
  <si>
    <t xml:space="preserve">Open to EU and non-EU candidates; non-EU trainees obtain a visa</t>
  </si>
  <si>
    <t xml:space="preserve">Longer than 6 months (52 weeks)</t>
  </si>
  <si>
    <t xml:space="preserve">EU-092</t>
  </si>
  <si>
    <t xml:space="preserve">EMA Traineeship Programme</t>
  </si>
  <si>
    <t xml:space="preserve">EMA Traineeship Programme: traineeship at European Medicines Agency (EMA); 10 months; Monthly grant.</t>
  </si>
  <si>
    <t xml:space="preserve">Monthly grant (amount not stated)</t>
  </si>
  <si>
    <t xml:space="preserve">10 months</t>
  </si>
  <si>
    <t xml:space="preserve">EU or EEA nationals only</t>
  </si>
  <si>
    <t xml:space="preserve">Not open to all nationalities (EU or EEA nationals only); Longer than 6 months (44 weeks)</t>
  </si>
  <si>
    <t xml:space="preserve">EU-093</t>
  </si>
  <si>
    <t xml:space="preserve">ECDC Traineeship Programme</t>
  </si>
  <si>
    <t xml:space="preserve">ECDC Traineeship Programme: traineeship at European Centre for Disease Prevention and Control (ECDC); Not stated; EUR 2,205.72 per month (2026) plus travel allowance.</t>
  </si>
  <si>
    <t xml:space="preserve">Recent university graduates</t>
  </si>
  <si>
    <t xml:space="preserve">EUR 2,205.72 per month (2026) plus travel allowance</t>
  </si>
  <si>
    <t xml:space="preserve">5 to 9 months (2027 call)</t>
  </si>
  <si>
    <t xml:space="preserve">EU, Norway, Iceland and Liechtenstein nationals only (official, current call)</t>
  </si>
  <si>
    <t xml:space="preserve">Not open to all nationalities (EU/EEA nationals only, current official call); also up to 9 months</t>
  </si>
  <si>
    <t xml:space="preserve">EU-094</t>
  </si>
  <si>
    <t xml:space="preserve">EUIPO PES and Young Professionals traineeships</t>
  </si>
  <si>
    <t xml:space="preserve">EUIPO PES and Young Professionals traineeships: traineeship at European Union Intellectual Property Office (EUIPO); Not stated; Monthly traineeship grant (amount in FAQ, not captured).</t>
  </si>
  <si>
    <t xml:space="preserve">Monthly traineeship grant (amount in FAQ, not captured) (amount not stated)</t>
  </si>
  <si>
    <t xml:space="preserve">One year (paid PES and Young Professionals traineeships)</t>
  </si>
  <si>
    <t xml:space="preserve">Some positions open to nationals of EU candidate and third countries</t>
  </si>
  <si>
    <t xml:space="preserve">EU-095</t>
  </si>
  <si>
    <t xml:space="preserve">ESA Student Internships</t>
  </si>
  <si>
    <t xml:space="preserve">ESA Student Internships: internship at European Space Agency (ESA); 3 to 6 months; EUR 800 per month for non-residents (EUR 500 residents).</t>
  </si>
  <si>
    <t xml:space="preserve">Master's students in final or second-to-last year</t>
  </si>
  <si>
    <t xml:space="preserve">EUR 800 per month for non-residents (EUR 500 residents)</t>
  </si>
  <si>
    <t xml:space="preserve">Nationals of ESA Member States, Associate Members, European Cooperating States and Canada only</t>
  </si>
  <si>
    <t xml:space="preserve">Noordwijk (ESTEC) / Paris / Darmstadt / Frascati / Madrid</t>
  </si>
  <si>
    <t xml:space="preserve">Netherlands / France / Germany / Italy / Spain</t>
  </si>
  <si>
    <t xml:space="preserve">https://www.esa.int/content/view/full/484171</t>
  </si>
  <si>
    <t xml:space="preserve">Not open to all nationalities (Nationals of ESA Member States, Associate Members, European Cooperating States and Canada only)</t>
  </si>
  <si>
    <t xml:space="preserve">EU-096</t>
  </si>
  <si>
    <t xml:space="preserve">ETF Traineeship Programme</t>
  </si>
  <si>
    <t xml:space="preserve">ETF Traineeship Programme: traineeship at European Training Foundation (ETF); 12 months (some calls 6 months, renewable); EUR 1,300 per month net plus travel contribution; residence permit costs covered for non-EU trainees.</t>
  </si>
  <si>
    <t xml:space="preserve">EUR 1,300 per month net plus travel contribution; residence permit costs covered for non-EU trainees</t>
  </si>
  <si>
    <t xml:space="preserve">12 months (some calls 6 months, renewable)</t>
  </si>
  <si>
    <t xml:space="preserve">EU nationals and nationals of ETF partner countries</t>
  </si>
  <si>
    <t xml:space="preserve">EU-097</t>
  </si>
  <si>
    <t xml:space="preserve">Eurofound postgraduate traineeships</t>
  </si>
  <si>
    <t xml:space="preserve">Eurofound postgraduate traineeships: traineeship at European Foundation for the Improvement of Living and Working Conditions (Eurofound); 6 months (extendable to 12); EUR 1,929.58 per month (2025).</t>
  </si>
  <si>
    <t xml:space="preserve">EUR 1,929.58 per month (2025)</t>
  </si>
  <si>
    <t xml:space="preserve">6 months (extendable to 12)</t>
  </si>
  <si>
    <t xml:space="preserve">EU nationals only (2025 rules)</t>
  </si>
  <si>
    <t xml:space="preserve">Not open to all nationalities (EU nationals only (2025 rules))</t>
  </si>
  <si>
    <t xml:space="preserve">EU-098</t>
  </si>
  <si>
    <t xml:space="preserve">WMO Internship Programme</t>
  </si>
  <si>
    <t xml:space="preserve">WMO Internship Programme: internship at World Meteorological Organization (WMO); 3 to 6 months (reported); CHF 1,500 per month in Geneva (CHF 300 remote); insurance cost added to stipend.</t>
  </si>
  <si>
    <t xml:space="preserve">CHF 1,500 per month in Geneva (CHF 300 remote); insurance cost added to stipend</t>
  </si>
  <si>
    <t xml:space="preserve">3 to 6 months (reported)</t>
  </si>
  <si>
    <t xml:space="preserve">Open to students and recent graduates from all countries</t>
  </si>
  <si>
    <t xml:space="preserve">EU-099</t>
  </si>
  <si>
    <t xml:space="preserve">EEA traineeships (Blue Book scheme)</t>
  </si>
  <si>
    <t xml:space="preserve">EEA traineeships (Blue Book scheme): traineeship at European Environment Agency (EEA); 5 months (March-July or October-February); About EUR 1,493.36 per month.</t>
  </si>
  <si>
    <t xml:space="preserve">Blue Book traineeship grant (about EUR 1,493 per month reported by a listing site) (amount not stated)</t>
  </si>
  <si>
    <t xml:space="preserve">Blue Book rules: EU citizens plus a limited number of places for non-EU nationals (official EEA and Blue Book pages)</t>
  </si>
  <si>
    <t xml:space="preserve">Via Blue Book: March 2027 session closed 28 Aug 2026; next window to be announced</t>
  </si>
  <si>
    <t xml:space="preserve">EU-100</t>
  </si>
  <si>
    <t xml:space="preserve">ECHA graduate traineeships</t>
  </si>
  <si>
    <t xml:space="preserve">ECHA graduate traineeships: traineeship at European Chemicals Agency (ECHA); Not stated; About EUR 1,670 per month.</t>
  </si>
  <si>
    <t xml:space="preserve">Monthly grant of approximately EUR 1,632-1,670 (official pages, varies by year) (amount not stated)</t>
  </si>
  <si>
    <t xml:space="preserve">6 months, not extendable (official)</t>
  </si>
  <si>
    <t xml:space="preserve">EU/EEA nationals; candidate-country nationals and a limited number of other nationals may be accepted (official)</t>
  </si>
  <si>
    <t xml:space="preserve">Traineeships start in March or September (official)</t>
  </si>
  <si>
    <t xml:space="preserve">https://agencies-network.europa.eu/echa-traineeships_nl</t>
  </si>
  <si>
    <t xml:space="preserve">EU-101</t>
  </si>
  <si>
    <t xml:space="preserve">EUDA traineeships</t>
  </si>
  <si>
    <t xml:space="preserve">EUDA traineeships: traineeship at European Union Drugs Agency (EUDA); Up to 11 months; Grant set in each call.</t>
  </si>
  <si>
    <t xml:space="preserve">Grant set in each call (amount not stated)</t>
  </si>
  <si>
    <t xml:space="preserve">Up to 11 months</t>
  </si>
  <si>
    <t xml:space="preserve">EU Member States, Norway and Türkiye nationals only unless stated</t>
  </si>
  <si>
    <t xml:space="preserve">Not open to all nationalities (EU Member States, Norway and Türkiye nationals only unless stated); Longer than 6 months (48 weeks)</t>
  </si>
  <si>
    <t xml:space="preserve">EU-102</t>
  </si>
  <si>
    <t xml:space="preserve">GCA internships (Young Leaders)</t>
  </si>
  <si>
    <t xml:space="preserve">GCA internships (Young Leaders): internship at Global Center on Adaptation (GCA); 4 to 6 months; EUR 500 per month (housing and travel contributions in earlier calls).</t>
  </si>
  <si>
    <t xml:space="preserve">EUR 500 per month (housing and travel contributions in earlier calls)</t>
  </si>
  <si>
    <t xml:space="preserve">4 to 6 months</t>
  </si>
  <si>
    <t xml:space="preserve">https://www.impactpool.org/jobs/1166830</t>
  </si>
  <si>
    <t xml:space="preserve">Requires existing right to live or work in host country; Needs an official source (current: impactpool.org)</t>
  </si>
  <si>
    <t xml:space="preserve">EU-103</t>
  </si>
  <si>
    <t xml:space="preserve">IRENA Innovation and Technology Centre internships (Bonn)</t>
  </si>
  <si>
    <t xml:space="preserve">IRENA Innovation and Technology Centre internships (Bonn): internship at International Renewable Energy Agency (IRENA); 6 months (maximum 9); Monthly stipend and accommodation allowance; travel to Bonn paid for interns from outside the commuting area.</t>
  </si>
  <si>
    <t xml:space="preserve">Master's or doctoral students, or graduates within 6 months</t>
  </si>
  <si>
    <t xml:space="preserve">Monthly stipend for living and accommodation (official); Bonn vacancies add accommodation allowance and paid travel for interns from outside the commuting area (amount not stated)</t>
  </si>
  <si>
    <t xml:space="preserve">Normally 2 to 6 months (some postings up to 9)</t>
  </si>
  <si>
    <t xml:space="preserve">IRENA welcomes applications from nationals of all countries (official)</t>
  </si>
  <si>
    <t xml:space="preserve">EU-104</t>
  </si>
  <si>
    <t xml:space="preserve">UNEP internships (Geneva)</t>
  </si>
  <si>
    <t xml:space="preserve">UNEP internships (Geneva): internship at United Nations Environment Programme (UNEP); Up to 6 months; Not remunerated (UN Secretariat rules).</t>
  </si>
  <si>
    <t xml:space="preserve">Not remunerated (UN Secretariat rules)</t>
  </si>
  <si>
    <t xml:space="preserve">All countries</t>
  </si>
  <si>
    <t xml:space="preserve">https://www.impactpool.org/jobs/1191314</t>
  </si>
  <si>
    <t xml:space="preserve">Not funded; Needs an official source (current: impactpool.org)</t>
  </si>
  <si>
    <t xml:space="preserve">EU-105</t>
  </si>
  <si>
    <t xml:space="preserve">UNECE Environment Division internships</t>
  </si>
  <si>
    <t xml:space="preserve">UNECE Environment Division internships: internship at United Nations Economic Commission for Europe (UNECE); 3 months; Not remunerated (UN Secretariat rules).</t>
  </si>
  <si>
    <t xml:space="preserve">Graduate students and final-year undergraduates</t>
  </si>
  <si>
    <t xml:space="preserve">https://www.impactpool.org/jobs/1189834</t>
  </si>
  <si>
    <t xml:space="preserve">EU-106</t>
  </si>
  <si>
    <t xml:space="preserve">CTBTO Internship Programme</t>
  </si>
  <si>
    <t xml:space="preserve">CTBTO Internship Programme: internship at Comprehensive Nuclear-Test-Ban Treaty Organization (CTBTO); 3 to 12 months (assignments of 6 months or less exist); EUR 500 per month for interns without other financial support, subject to funds availability; travel at own cost.</t>
  </si>
  <si>
    <t xml:space="preserve">Undergraduate or graduate students and recent graduates, age 18-35</t>
  </si>
  <si>
    <t xml:space="preserve">EUR 500 per month for interns without other financial support, subject to funds availability; travel at own cost</t>
  </si>
  <si>
    <t xml:space="preserve">EU-107</t>
  </si>
  <si>
    <t xml:space="preserve">UN Secretariat internships in Vienna (UNOV, UNODC, UNOOSA)</t>
  </si>
  <si>
    <t xml:space="preserve">UN Secretariat internships in Vienna (UNOV, UNODC, UNOOSA): internship at United Nations Office on Drugs and Crime (UNODC) / UN Office at Vienna; 2 to 6 months; Not remunerated; intern bears all costs.</t>
  </si>
  <si>
    <t xml:space="preserve">Enrolled graduate students</t>
  </si>
  <si>
    <t xml:space="preserve">Not remunerated; intern bears all costs</t>
  </si>
  <si>
    <t xml:space="preserve">https://www.unvienna.org/unvienna/en/2nd/internships.html</t>
  </si>
  <si>
    <t xml:space="preserve">Not funded; Needs an official source (current: unvienna.org)</t>
  </si>
  <si>
    <t xml:space="preserve">EU-108</t>
  </si>
  <si>
    <t xml:space="preserve">ITC Internship Programme</t>
  </si>
  <si>
    <t xml:space="preserve">ITC Internship Programme: internship at International Trade Centre (ITC); 3 to 4 months (extendable to 8); No stipend in current vacancies; older listings state interns are not paid.</t>
  </si>
  <si>
    <t xml:space="preserve">Students and graduates within 1 year</t>
  </si>
  <si>
    <t xml:space="preserve">No stipend in current vacancies; older listings state interns are not paid</t>
  </si>
  <si>
    <t xml:space="preserve">3 to 4 months (extendable to 8)</t>
  </si>
  <si>
    <t xml:space="preserve">https://www.impactpool.org/jobs/1204026</t>
  </si>
  <si>
    <t xml:space="preserve">EU-109</t>
  </si>
  <si>
    <t xml:space="preserve">UNAIDS Internship Programme</t>
  </si>
  <si>
    <t xml:space="preserve">UNAIDS Internship Programme: internship at Joint United Nations Programme on HIV/AIDS (UNAIDS); 8 weeks to 6 months; Stipend may be offered for interns without other financial support (amount not stated).</t>
  </si>
  <si>
    <t xml:space="preserve">Undergraduate or postgraduate students; graduates within 12 months; age 20+</t>
  </si>
  <si>
    <t xml:space="preserve">Stipend may be offered for interns without other financial support (amount not stated)</t>
  </si>
  <si>
    <t xml:space="preserve">8 weeks to 6 months</t>
  </si>
  <si>
    <t xml:space="preserve">Passport of a WHO/UNAIDS Member State (near-universal, counted as open to all) Confirm nationality and right-to-work terms in the current vacancy notice before applying.</t>
  </si>
  <si>
    <t xml:space="preserve">https://www.impactpool.org/jobs/920089</t>
  </si>
  <si>
    <t xml:space="preserve">Needs an official source (current: impactpool.org)</t>
  </si>
  <si>
    <t xml:space="preserve">EU-110</t>
  </si>
  <si>
    <t xml:space="preserve">UNITAR Traineeships (Geneva)</t>
  </si>
  <si>
    <t xml:space="preserve">UNITAR Traineeships (Geneva): traineeship at United Nations Institute for Training and Research (UNITAR); 4 to 6 months; CHF 900 per month (Geneva).</t>
  </si>
  <si>
    <t xml:space="preserve">Students and graduates within 2 years</t>
  </si>
  <si>
    <t xml:space="preserve">CHF 900 per month in Geneva (official vacancy)</t>
  </si>
  <si>
    <t xml:space="preserve">4 to 6 months (official vacancies)</t>
  </si>
  <si>
    <t xml:space="preserve">Open to all nationalities (listings)</t>
  </si>
  <si>
    <t xml:space="preserve">https://unitar.org/vacancy-announcements/traineeship-communications-pre-deployment-training-and-advisory-team/373</t>
  </si>
  <si>
    <t xml:space="preserve">EU-111</t>
  </si>
  <si>
    <t xml:space="preserve">UNDRR internships</t>
  </si>
  <si>
    <t xml:space="preserve">UNDRR internships: internship at United Nations Office for Disaster Risk Reduction (UNDRR); 2 to 6 months; Unpaid (UN Secretariat rules).</t>
  </si>
  <si>
    <t xml:space="preserve">Unpaid (UN Secretariat rules)</t>
  </si>
  <si>
    <t xml:space="preserve">https://untalent.org/jobs/intern-programme-management-263</t>
  </si>
  <si>
    <t xml:space="preserve">Not funded; Needs an official source (current: untalent.org)</t>
  </si>
  <si>
    <t xml:space="preserve">EU-112</t>
  </si>
  <si>
    <t xml:space="preserve">EUMETSAT Internship Programme</t>
  </si>
  <si>
    <t xml:space="preserve">EUMETSAT Internship Programme: internship at European Organisation for the Exploitation of Meteorological Satellites (EUMETSAT); Not stated; Daily allowance (EUR 25 reported) and contribution to travel/accommodation.</t>
  </si>
  <si>
    <t xml:space="preserve">Students with a mandatory internship</t>
  </si>
  <si>
    <t xml:space="preserve">Daily allowance (EUR 25 reported) and contribution to travel/accommodation (amount not stated)</t>
  </si>
  <si>
    <t xml:space="preserve">Nationals of EUMETSAT Member or Cooperating States only</t>
  </si>
  <si>
    <t xml:space="preserve">Not open to all nationalities (Nationals of EUMETSAT Member or Cooperating States only); Duration not stated</t>
  </si>
  <si>
    <t xml:space="preserve">EU-113</t>
  </si>
  <si>
    <t xml:space="preserve">ESO Summer Research Programme</t>
  </si>
  <si>
    <t xml:space="preserve">ESO Summer Research Programme: internship at European Southern Observatory (ESO); 6 weeks (summer); Travel to Garching, shared accommodation and a modest stipend.</t>
  </si>
  <si>
    <t xml:space="preserve">University students with 2+ years of study, not yet in a PhD</t>
  </si>
  <si>
    <t xml:space="preserve">Travel to Garching, shared accommodation and a modest stipend (amount not stated)</t>
  </si>
  <si>
    <t xml:space="preserve">6 weeks (summer)</t>
  </si>
  <si>
    <t xml:space="preserve">Open to any nationality; priority to ESO Member State, Chile and Australia nationals</t>
  </si>
  <si>
    <t xml:space="preserve">Garching</t>
  </si>
  <si>
    <t xml:space="preserve">Garching (Munich)</t>
  </si>
  <si>
    <t xml:space="preserve">Late January 2027 (annual; call opens mid-December; 2026 deadline was 31 January)</t>
  </si>
  <si>
    <t xml:space="preserve">EU-114</t>
  </si>
  <si>
    <t xml:space="preserve">ESO Studentship Programme</t>
  </si>
  <si>
    <t xml:space="preserve">ESO Studentship Programme: fellowship at European Southern Observatory (ESO); 1 to 2 years; Studentship funding.</t>
  </si>
  <si>
    <t xml:space="preserve">PhD students in astronomy</t>
  </si>
  <si>
    <t xml:space="preserve">Studentship funding (amount not stated)</t>
  </si>
  <si>
    <t xml:space="preserve">1 to 2 years</t>
  </si>
  <si>
    <t xml:space="preserve">https://www.impactpool.org/jobs/1234645</t>
  </si>
  <si>
    <t xml:space="preserve">Longer than 6 months (52 weeks); Needs an official source (current: impactpool.org)</t>
  </si>
  <si>
    <t xml:space="preserve">EU-115</t>
  </si>
  <si>
    <t xml:space="preserve">ESRF/ILL International Student Summer Programme (X-ray and Neutron Science)</t>
  </si>
  <si>
    <t xml:space="preserve">ESRF/ILL International Student Summer Programme (X-ray and Neutron Science): internship at European Synchrotron Radiation Facility (ESRF); 4 weeks (September); Financial support and free accommodation in Grenoble.</t>
  </si>
  <si>
    <t xml:space="preserve">Undergraduate students</t>
  </si>
  <si>
    <t xml:space="preserve">Financial support and free accommodation in Grenoble (amount not stated)</t>
  </si>
  <si>
    <t xml:space="preserve">4 weeks (September)</t>
  </si>
  <si>
    <t xml:space="preserve">No nationality rule; the student's university must be in an ESRF or ILL Member or Scientific Associate country</t>
  </si>
  <si>
    <t xml:space="preserve">EU-116</t>
  </si>
  <si>
    <t xml:space="preserve">ITER Internship Programme</t>
  </si>
  <si>
    <t xml:space="preserve">ITER Internship Programme: internship at ITER Organization; Up to 6 months (extendable to 1 year); Not stated in source.</t>
  </si>
  <si>
    <t xml:space="preserve">Bachelor's, Master's or PhD students</t>
  </si>
  <si>
    <t xml:space="preserve">Not stated in source (amount not stated)</t>
  </si>
  <si>
    <t xml:space="preserve">Up to 6 months (extendable to 1 year)</t>
  </si>
  <si>
    <t xml:space="preserve">Passport of an ITER Member only (China, EU, India, Japan, Korea, Russia, USA)</t>
  </si>
  <si>
    <t xml:space="preserve">Not open to all nationalities (Passport of an ITER Member only (China, EU, India, Japan, Korea, Russia, USA))</t>
  </si>
  <si>
    <t xml:space="preserve">EU-117</t>
  </si>
  <si>
    <t xml:space="preserve">F4E Traineeship Programme</t>
  </si>
  <si>
    <t xml:space="preserve">F4E Traineeship Programme: traineeship at Fusion for Energy (F4E); Up to 12 months; Paid traineeship plus travel lump sum.</t>
  </si>
  <si>
    <t xml:space="preserve">Paid traineeship plus travel lump sum (amount not stated)</t>
  </si>
  <si>
    <t xml:space="preserve">EU and Ukrainian nationals only</t>
  </si>
  <si>
    <t xml:space="preserve">Not open to all nationalities (EU and Ukrainian nationals only); Longer than 6 months (52 weeks)</t>
  </si>
  <si>
    <t xml:space="preserve">EU-118</t>
  </si>
  <si>
    <t xml:space="preserve">EIB General Internship Programme</t>
  </si>
  <si>
    <t xml:space="preserve">EIB General Internship Programme: internship at European Investment Bank (EIB); 3 to 5 months (6 if required by university); Allowance (amount not stated).</t>
  </si>
  <si>
    <t xml:space="preserve">Allowance (amount not stated)</t>
  </si>
  <si>
    <t xml:space="preserve">3 to 5 months (6 if required by university)</t>
  </si>
  <si>
    <t xml:space="preserve">Nationals of EU Member States and candidate countries in negotiation (Türkiye, Serbia, Montenegro) only</t>
  </si>
  <si>
    <t xml:space="preserve">Not open to all nationalities (Nationals of EU Member States and candidate countries in negotiation (Türkiye, Serbia, Montenegro) only)</t>
  </si>
  <si>
    <t xml:space="preserve">EU-119</t>
  </si>
  <si>
    <t xml:space="preserve">CEB internships</t>
  </si>
  <si>
    <t xml:space="preserve">CEB internships: internship at Council of Europe Development Bank (CEB); 6 months; Not stated; travel and other costs not met by the Bank.</t>
  </si>
  <si>
    <t xml:space="preserve">Not stated; travel and other costs not met by the Bank</t>
  </si>
  <si>
    <t xml:space="preserve">Citizens of the 43 CEB member states only</t>
  </si>
  <si>
    <t xml:space="preserve">https://jobs.coebank.org/job/Paris-Intern-European-Relations/1327513555</t>
  </si>
  <si>
    <t xml:space="preserve">Not funded; Not open to all nationalities (Citizens of the 43 CEB member states only)</t>
  </si>
  <si>
    <t xml:space="preserve">EU-120</t>
  </si>
  <si>
    <t xml:space="preserve">ICLEI World Secretariat internships (Bonn)</t>
  </si>
  <si>
    <t xml:space="preserve">ICLEI World Secretariat internships (Bonn): internship at ICLEI - Local Governments for Sustainability (World Secretariat); 3 to 6 months; EUR 880-1,000 gross per month (2021-2024 postings).</t>
  </si>
  <si>
    <t xml:space="preserve">Master's students needing a mandatory internship</t>
  </si>
  <si>
    <t xml:space="preserve">EUR 880-1,000 gross per month (2021-2024 postings)</t>
  </si>
  <si>
    <t xml:space="preserve">https://iclei.org/wp-content/uploads/2024/08/Jobposting_Intern_CDTeam_August-2024.pdf</t>
  </si>
  <si>
    <t xml:space="preserve">Right-to-work requirement unclear</t>
  </si>
  <si>
    <t xml:space="preserve">EU-121</t>
  </si>
  <si>
    <t xml:space="preserve">IPU internships (Geneva)</t>
  </si>
  <si>
    <t xml:space="preserve">IPU internships (Geneva): internship at Inter-Parliamentary Union (IPU); Not stated; Stipend for interns not supported by a university, government or other institution (amount truncated in source).</t>
  </si>
  <si>
    <t xml:space="preserve">Undergraduate, graduate and postgraduate students</t>
  </si>
  <si>
    <t xml:space="preserve">CHF 1,500 per month for a full-time contract (official vacancy, August 2026)</t>
  </si>
  <si>
    <t xml:space="preserve">Usually about 6 months, renewable (official vacancies)</t>
  </si>
  <si>
    <t xml:space="preserve">Applicants can be of any nationality (official)</t>
  </si>
  <si>
    <t xml:space="preserve">EU-122</t>
  </si>
  <si>
    <t xml:space="preserve">UNIDIR Graduate Professional Programme</t>
  </si>
  <si>
    <t xml:space="preserve">UNIDIR Graduate Professional Programme: internship at United Nations Institute for Disarmament Research (UNIDIR); Usually 6 months (listing); USD 1,331 per month in person (USD 665.50 remote), topped up if partly funded elsewhere (official vacancy 2025).</t>
  </si>
  <si>
    <t xml:space="preserve">Graduate students (master's or PhD) or graduates within 1 year</t>
  </si>
  <si>
    <t xml:space="preserve">USD 1,331 per month in person (USD 665.50 remote), topped up if partly funded elsewhere (official vacancy 2025)</t>
  </si>
  <si>
    <t xml:space="preserve">Usually 6 months (listing)</t>
  </si>
  <si>
    <t xml:space="preserve">No nationality restriction in official vacancies</t>
  </si>
  <si>
    <t xml:space="preserve">EU-123</t>
  </si>
  <si>
    <t xml:space="preserve">UPU Internship Programme</t>
  </si>
  <si>
    <t xml:space="preserve">UPU Internship Programme: internship at Universal Postal Union (UPU); 2 to 6 months (longer for doctoral-thesis research internships); Remunerated according to UPU internal rules (amount not stated).</t>
  </si>
  <si>
    <t xml:space="preserve">Students and very recent graduates</t>
  </si>
  <si>
    <t xml:space="preserve">Remunerated according to UPU internal rules (official) (amount not stated)</t>
  </si>
  <si>
    <t xml:space="preserve">2 to 6 months (longer for doctoral-thesis research internships) (official)</t>
  </si>
  <si>
    <t xml:space="preserve">Open to students and very recent graduates from any region of the world (official)</t>
  </si>
  <si>
    <t xml:space="preserve">EU-124</t>
  </si>
  <si>
    <t xml:space="preserve">CERN openlab Summer Student Programme</t>
  </si>
  <si>
    <t xml:space="preserve">CERN openlab Summer Student Programme: internship at European Organization for Nuclear Research (CERN); 9 weeks (summer); Daily subsistence allowance (CHF 93 per day reported) plus travel.</t>
  </si>
  <si>
    <t xml:space="preserve">Bachelor's or master's students in computing (PhD students not eligible)</t>
  </si>
  <si>
    <t xml:space="preserve">Daily subsistence allowance (CHF 93 per day reported in the vacancy text) plus health insurance and travel (amount not stated)</t>
  </si>
  <si>
    <t xml:space="preserve">9 weeks (summer)</t>
  </si>
  <si>
    <t xml:space="preserve">Open to applicants of all nationalities (official FAQ)</t>
  </si>
  <si>
    <t xml:space="preserve">Late January 2027 (approx., annual; 2026 deadline 26 January)</t>
  </si>
  <si>
    <t xml:space="preserve">https://openlab.cern/faqs-summer-student-programme/</t>
  </si>
  <si>
    <t xml:space="preserve">EU-125</t>
  </si>
  <si>
    <t xml:space="preserve">IEA internships</t>
  </si>
  <si>
    <t xml:space="preserve">IEA internships: internship at International Energy Agency (IEA); Usually 6 months; EUR 1,000 per month (2025 call).</t>
  </si>
  <si>
    <t xml:space="preserve">EUR 1,000 per month (2025 call)</t>
  </si>
  <si>
    <t xml:space="preserve">Usually 6 months</t>
  </si>
  <si>
    <t xml:space="preserve">IEA Member country nationals only (official call text)</t>
  </si>
  <si>
    <t xml:space="preserve">https://www.pp.u-tokyo.ac.jp/wp-content/uploads/2025/10/IEA_Job-description-International-Energy-Agency_SIO_2025.pdf</t>
  </si>
  <si>
    <t xml:space="preserve">Not open to all nationalities (IEA Member country nationals only (official call text)); Needs an official source (current: ac.jp)</t>
  </si>
  <si>
    <t xml:space="preserve">EU-126</t>
  </si>
  <si>
    <t xml:space="preserve">ICTP/IAEA Sandwich Training Educational Programme (STEP)</t>
  </si>
  <si>
    <t xml:space="preserve">ICTP/IAEA Sandwich Training Educational Programme (STEP): fellowship at Abdus Salam International Centre for Theoretical Physics (ICTP); 3 to 6 months per year, for up to 3 years; Financial support for a 3-6 month visit to ICTP or a collaborating institute each year for 3 years.</t>
  </si>
  <si>
    <t xml:space="preserve">PhD students enrolled at their home university (physics, mathematics)</t>
  </si>
  <si>
    <t xml:space="preserve">Financial support for a 3-6 month visit to ICTP or a collaborating institute each year for 3 years (amount not stated)</t>
  </si>
  <si>
    <t xml:space="preserve">3 to 6 months per year, for up to 3 years</t>
  </si>
  <si>
    <t xml:space="preserve">Reserved for PhD students in developing countries</t>
  </si>
  <si>
    <t xml:space="preserve">https://2022.ictp.it/news/2026/2/call-applications-step-programme</t>
  </si>
  <si>
    <t xml:space="preserve">Not open to all nationalities (Reserved for PhD students in developing countries)</t>
  </si>
  <si>
    <t xml:space="preserve">EU-127</t>
  </si>
  <si>
    <t xml:space="preserve">Internships at Alliance headquarters (Rome)</t>
  </si>
  <si>
    <t xml:space="preserve">Internships at Alliance headquarters (Rome): internship at Alliance of Bioversity International and CIAT (CGIAR); 8 to 11 months (current postings); Monthly stipend set by local standards.</t>
  </si>
  <si>
    <t xml:space="preserve">Monthly stipend set by local standards (amount not stated)</t>
  </si>
  <si>
    <t xml:space="preserve">8 to 11 months (current postings)</t>
  </si>
  <si>
    <t xml:space="preserve">https://www.cgiar.org/news-events/vacancy/intern-grant-management-unit-temporary-assignment-8-months-rome-italy</t>
  </si>
  <si>
    <t xml:space="preserve">Longer than 6 months (44 weeks); Needs an official source (current: cgiar.org)</t>
  </si>
  <si>
    <t xml:space="preserve">EU-128</t>
  </si>
  <si>
    <t xml:space="preserve">ITCILO internships (Turin)</t>
  </si>
  <si>
    <t xml:space="preserve">ITCILO internships (Turin): internship at International Training Centre of the ILO (ITCILO); Not stated; EUR 500 per month for interns without other funding; possible airfare support on request (official).</t>
  </si>
  <si>
    <t xml:space="preserve">EUR 500 per month for interns without other funding; candidates not living in Europe may request airfare support (official conditions)</t>
  </si>
  <si>
    <t xml:space="preserve">Normally 8 weeks to 6 months (official conditions)</t>
  </si>
  <si>
    <t xml:space="preserve">No nationality restriction in official conditions Confirm nationality and right-to-work terms in the current vacancy notice before applying.</t>
  </si>
  <si>
    <t xml:space="preserve">https://www.itcilo.org/sites/default/files/inline-files/Application%20procedures%20and%20conditions%20for%20internships.pdf</t>
  </si>
  <si>
    <t xml:space="preserve">EU-129</t>
  </si>
  <si>
    <t xml:space="preserve">Frontex Traineeship Programme</t>
  </si>
  <si>
    <t xml:space="preserve">Frontex Traineeship Programme: traineeship at an EU agency in Warsaw.</t>
  </si>
  <si>
    <t xml:space="preserve">EUR 1,376.89 per month (reported)</t>
  </si>
  <si>
    <t xml:space="preserve">5 months (1 March or 1 October)</t>
  </si>
  <si>
    <t xml:space="preserve">Nationals of EU Member States or Schengen Associated Countries only</t>
  </si>
  <si>
    <t xml:space="preserve">https://magnet.me/en/opportunity/986126/frontex-traineeship</t>
  </si>
  <si>
    <t xml:space="preserve">Not open to all nationalities (EU and Schengen Associated Countries only)</t>
  </si>
  <si>
    <t xml:space="preserve">EU-130</t>
  </si>
  <si>
    <t xml:space="preserve">EUAA Traineeship Programme</t>
  </si>
  <si>
    <t xml:space="preserve">EUAA Traineeship Programme: traineeship at an EU agency in Valletta.</t>
  </si>
  <si>
    <t xml:space="preserve">EUR 1,500 monthly grant plus travel allowance (reported)</t>
  </si>
  <si>
    <t xml:space="preserve">Up to 6 months, renewable to 12</t>
  </si>
  <si>
    <t xml:space="preserve">Nationals of EU Member States or Schengen associated countries only (official)</t>
  </si>
  <si>
    <t xml:space="preserve">https://www.euaa.europa.eu/careers/traineeship</t>
  </si>
  <si>
    <t xml:space="preserve">Not open to all nationalities (EU and Schengen associated countries only)</t>
  </si>
  <si>
    <t xml:space="preserve">EU-131</t>
  </si>
  <si>
    <t xml:space="preserve">EUSPA Traineeships</t>
  </si>
  <si>
    <t xml:space="preserve">EUSPA Traineeships: traineeship at an EU agency in Prague.</t>
  </si>
  <si>
    <t xml:space="preserve">Paid traineeship (amount in call)</t>
  </si>
  <si>
    <t xml:space="preserve">Nationals of EU Member States, Iceland, Norway or Switzerland only (official)</t>
  </si>
  <si>
    <t xml:space="preserve">https://vacancies.euspa.europa.eu/Jobs/VacancyDetails/1860</t>
  </si>
  <si>
    <t xml:space="preserve">Not open to all nationalities (EU, Iceland, Norway, Switzerland only)</t>
  </si>
  <si>
    <t xml:space="preserve">EU-132</t>
  </si>
  <si>
    <t xml:space="preserve">ACER Traineeships</t>
  </si>
  <si>
    <t xml:space="preserve">ACER Traineeships: traineeship at an EU agency in Ljubljana.</t>
  </si>
  <si>
    <t xml:space="preserve">Nationals of EU Member States only (EU Careers)</t>
  </si>
  <si>
    <t xml:space="preserve">https://eu-careers.europa.eu/en/job-opportunities/traineeships?institution=All&amp;page=0</t>
  </si>
  <si>
    <t xml:space="preserve">EU-133</t>
  </si>
  <si>
    <t xml:space="preserve">CEPOL Traineeships</t>
  </si>
  <si>
    <t xml:space="preserve">CEPOL Traineeships: traineeship at an EU agency in Budapest.</t>
  </si>
  <si>
    <t xml:space="preserve">Nationals of EU Member States, Schengen Associated Countries or candidate countries only (EU Careers)</t>
  </si>
  <si>
    <t xml:space="preserve">https://eu-careers.europa.eu/en/job-opportunities/traineeships?institution=All&amp;page=3</t>
  </si>
  <si>
    <t xml:space="preserve">Not open to all nationalities (EU, Schengen and candidate countries only)</t>
  </si>
  <si>
    <t xml:space="preserve">EU-134</t>
  </si>
  <si>
    <t xml:space="preserve">SRB Traineeships</t>
  </si>
  <si>
    <t xml:space="preserve">SRB Traineeships: traineeship at an EU agency in Brussels.</t>
  </si>
  <si>
    <t xml:space="preserve">Paid traineeship (amount not stated)</t>
  </si>
  <si>
    <t xml:space="preserve">EU nationals; a small number of places reserved for non-EU citizens; knowledge of two EU languages required (EU Careers)</t>
  </si>
  <si>
    <t xml:space="preserve">Duration and grant not confirmed</t>
  </si>
  <si>
    <t xml:space="preserve">EU-135</t>
  </si>
  <si>
    <t xml:space="preserve">ERCEA Traineeships</t>
  </si>
  <si>
    <t xml:space="preserve">ERCEA Traineeships: traineeship at an EU agency in Brussels.</t>
  </si>
  <si>
    <t xml:space="preserve">EU nationals; a limited number of places allocated to non-EU nationals (EU Careers)</t>
  </si>
  <si>
    <t xml:space="preserve">latitude</t>
  </si>
  <si>
    <t xml:space="preserve">longitude</t>
  </si>
  <si>
    <t xml:space="preserve">visa_rule</t>
  </si>
  <si>
    <t xml:space="preserve">visa_rule_source</t>
  </si>
  <si>
    <t xml:space="preserve">No host-country rule recorded; see the organisation's visa note.</t>
  </si>
  <si>
    <t xml:space="preserve">Interns of international organisations in Geneva receive a Swiss FDFA type H legitimation card instead of a cantonal work permit; an entry visa may still be needed depending on nationality.</t>
  </si>
  <si>
    <t xml:space="preserve">text</t>
  </si>
  <si>
    <t xml:space="preserve">About this database</t>
  </si>
  <si>
    <t xml:space="preserve">What it covers: funded short visits (up to 6 months) at international organisations hosted in the EU, EEA, Switzerland and the UK: UN agencies, other intergovernmental bodies, EU institutions and agencies, international NGOs, and Swiss foundations with international-organisation status.</t>
  </si>
  <si>
    <t xml:space="preserve">Who it is for: master's and PhD students of any nationality who need funding and do not already have the right to live or work in the host country.</t>
  </si>
  <si>
    <t xml:space="preserve">What you will mostly find: internships and traineeships with a stipend. Funded research-visit schemes for PhD students at international organisations are rare; the few that exist (for example IIASA YSSP, EMBL CPP Fellowships, EMBO Scientific Exchange Grants, ICTP Short-term Visits) are included.</t>
  </si>
  <si>
    <t xml:space="preserve">Verified vs unverified: verified records were checked against the organisation's own website. Unverified records are funded programmes at organisations whose terms are open internationally, but one detail (usually nationality, right to work or duration) could not be confirmed; check the current vacancy notice before applying.</t>
  </si>
  <si>
    <t xml:space="preserve">Nationality: 'open to all' includes programmes restricted to member states where membership is near-universal (e.g. FAO, IFAD, OPCW, IAEA, ITU, WTO, UNIDO); the restriction is stated on each record. Some EU programmes reserve a limited share of places for non-EU nationals.</t>
  </si>
  <si>
    <t xml:space="preserve">What is not included: unpaid internships, programmes limited to particular nationalities or regions, programmes requiring existing right to work, programmes longer than 6 months, and funding from external bodies (e.g. national scholarships).</t>
  </si>
  <si>
    <t xml:space="preserve">Visa information: visa notes apply only to the host country stated. Exemption and permit rules are decided by national authorities case by case; confirm with the organisation and the host country's immigration authority.</t>
  </si>
  <si>
    <t xml:space="preserve">Accuracy: a snapshot (checked 7–11 October 2026), refreshed periodically. Amounts, deadlines and eligibility change; always use the official page linked on each record. Contact links point to general, media or programme inboxes, never to individual staff.</t>
  </si>
  <si>
    <t xml:space="preserve">official_seed_source</t>
  </si>
  <si>
    <t xml:space="preserve">status</t>
  </si>
  <si>
    <t xml:space="preserve">organisations_found</t>
  </si>
  <si>
    <t xml:space="preserve">In progress (priority organisations)</t>
  </si>
  <si>
    <t xml:space="preserve">Bulgaria</t>
  </si>
  <si>
    <t xml:space="preserve">Not started</t>
  </si>
  <si>
    <t xml:space="preserve">Croatia</t>
  </si>
  <si>
    <t xml:space="preserve">Cyprus</t>
  </si>
  <si>
    <t xml:space="preserve">Researched (EU agencies; none open to all nationalities)</t>
  </si>
  <si>
    <t xml:space="preserve">Estonia</t>
  </si>
  <si>
    <t xml:space="preserve">Greece</t>
  </si>
  <si>
    <t xml:space="preserve">Latvia</t>
  </si>
  <si>
    <t xml:space="preserve">Lithuania</t>
  </si>
  <si>
    <t xml:space="preserve">Romania</t>
  </si>
  <si>
    <t xml:space="preserve">Slovakia</t>
  </si>
  <si>
    <t xml:space="preserve">Iceland</t>
  </si>
  <si>
    <t xml:space="preserve">Liechtenstein</t>
  </si>
  <si>
    <t xml:space="preserve">Norway</t>
  </si>
  <si>
    <t xml:space="preserve">UKVI list of international organisations (first section) + manual NGOs</t>
  </si>
  <si>
    <t xml:space="preserve">Seeded from v1 (56 organisations)</t>
  </si>
  <si>
    <t xml:space="preserve">Measure</t>
  </si>
  <si>
    <t xml:space="preserve">Count</t>
  </si>
  <si>
    <t xml:space="preserve">Organisations</t>
  </si>
  <si>
    <t xml:space="preserve">Opportunities (all)</t>
  </si>
  <si>
    <t xml:space="preserve">  Verified</t>
  </si>
  <si>
    <t xml:space="preserve">  Unverified</t>
  </si>
  <si>
    <t xml:space="preserve">  Excluded</t>
  </si>
  <si>
    <t xml:space="preserve">Shown on site, STEM</t>
  </si>
  <si>
    <t xml:space="preserve">Shown on site, Social sciences</t>
  </si>
  <si>
    <t xml:space="preserve">Shown on site, Any field</t>
  </si>
  <si>
    <t xml:space="preserve">Host cities (Places)</t>
  </si>
  <si>
    <t xml:space="preserve">https://careers.efi.int/</t>
  </si>
  <si>
    <t xml:space="preserve">Needs an official source: the traineeship vacancy has expired and EFI lists no open positions (checked 11 Oct 2026)</t>
  </si>
  <si>
    <t xml:space="preserve">2026-10-11</t>
  </si>
  <si>
    <t xml:space="preserve">https://www.europarl.europa.eu/at-your-service/files/work-with-us/traineeships/home-page/info-flyer-schuman-traineeships.pdf</t>
  </si>
  <si>
    <t xml:space="preserve">https://www.europarl.europa.eu/at-your-service/en/work-with-us/traineeships</t>
  </si>
  <si>
    <t xml:space="preserve">EUR 1,889 per month in Brussels and Luxembourg from January 2026 (official flyer); amounts vary in other places</t>
  </si>
  <si>
    <t xml:space="preserve">https://careers.cern/programmes/summer-studentship/</t>
  </si>
  <si>
    <t xml:space="preserve">CHF 94 per calendar day net subsistence allowance (official), health insurance, travel to Geneva depending on circumstances</t>
  </si>
  <si>
    <t xml:space="preserve">EUR 1,133-1,856 per month for full-time trainees (official)</t>
  </si>
  <si>
    <t xml:space="preserve">https://careers.unops.org/careersmarketplace/SearchJobs/</t>
  </si>
  <si>
    <t xml:space="preserve">Needs an official source: the Copenhagen internship vacancy has expired and UNOPS has no standing internship page (checked 11 Oct 2026)</t>
  </si>
  <si>
    <t xml:space="preserve">https://www.irena.org/About/Employment</t>
  </si>
  <si>
    <t xml:space="preserve">https://unidir.org/who-we-are/join-our-team/graduate-professional-programme/</t>
  </si>
  <si>
    <t xml:space="preserve">Stipend as a contribution to living expenses (official); amount set in each post announcement (USD 1,331 per month in person in a 2025 vacancy) (amount not stated)</t>
  </si>
  <si>
    <t xml:space="preserve">https://iclei.org/jobs/</t>
  </si>
  <si>
    <t xml:space="preserve">https://echa.europa.eu/traineeships</t>
  </si>
  <si>
    <t xml:space="preserve">https://www.esrf.fr/about/contacts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</si>
</sst>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1"/>
      <color rgb="FFFFFFFF"/>
      <name val="Arial"/>
      <family val="0"/>
      <charset val="1"/>
    </font>
    <font>
      <b val="true"/>
      <sz val="11"/>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5.75" hidden="false" customHeight="true" outlineLevel="0" collapsed="false">
      <c r="A1" s="2" t="s">
        <v>0</v>
      </c>
    </row>
    <row r="2" customFormat="false" ht="15" hidden="false" customHeight="true" outlineLevel="0" collapsed="false">
      <c r="A2" s="3"/>
    </row>
    <row r="3" customFormat="false" ht="15" hidden="false" customHeight="true" outlineLevel="0" collapsed="false">
      <c r="A3" s="3" t="s">
        <v>1</v>
      </c>
    </row>
    <row r="4" customFormat="false" ht="15" hidden="false" customHeight="true" outlineLevel="0" collapsed="false">
      <c r="A4" s="3"/>
    </row>
    <row r="5" customFormat="false" ht="15" hidden="false" customHeight="true" outlineLevel="0" collapsed="false">
      <c r="A5" s="4" t="s">
        <v>2</v>
      </c>
    </row>
    <row r="6" customFormat="false" ht="15" hidden="false" customHeight="true" outlineLevel="0" collapsed="false">
      <c r="A6" s="3" t="s">
        <v>3</v>
      </c>
    </row>
    <row r="7" customFormat="false" ht="23.25" hidden="false" customHeight="true" outlineLevel="0" collapsed="false">
      <c r="A7" s="3" t="s">
        <v>4</v>
      </c>
    </row>
    <row r="8" customFormat="false" ht="23.25" hidden="false" customHeight="true" outlineLevel="0" collapsed="false">
      <c r="A8" s="3" t="s">
        <v>5</v>
      </c>
    </row>
    <row r="9" customFormat="false" ht="15" hidden="false" customHeight="true" outlineLevel="0" collapsed="false">
      <c r="A9" s="3" t="s">
        <v>6</v>
      </c>
    </row>
    <row r="10" customFormat="false" ht="15" hidden="false" customHeight="true" outlineLevel="0" collapsed="false">
      <c r="A10" s="3" t="s">
        <v>7</v>
      </c>
    </row>
    <row r="11" customFormat="false" ht="1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3"/>
    </row>
    <row r="14" customFormat="false" ht="23.25" hidden="false" customHeight="true" outlineLevel="0" collapsed="false">
      <c r="A14" s="3" t="s">
        <v>10</v>
      </c>
    </row>
    <row r="15" customFormat="false" ht="15" hidden="false" customHeight="true" outlineLevel="0" collapsed="false">
      <c r="A15" s="3"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0"/>
    <col collapsed="false" customWidth="true" hidden="false" outlineLevel="0" max="5" min="3" style="1" width="18"/>
    <col collapsed="false" customWidth="true" hidden="false" outlineLevel="0" max="6" min="6" style="1" width="30"/>
    <col collapsed="false" customWidth="true" hidden="false" outlineLevel="0" max="7" min="7" style="1" width="18"/>
    <col collapsed="false" customWidth="true" hidden="false" outlineLevel="0" max="8" min="8" style="1" width="40"/>
    <col collapsed="false" customWidth="true" hidden="false" outlineLevel="0" max="9" min="9" style="1" width="34"/>
    <col collapsed="false" customWidth="true" hidden="false" outlineLevel="0" max="12" min="10" style="1" width="18"/>
    <col collapsed="false" customWidth="true" hidden="false" outlineLevel="0" max="13" min="13" style="1" width="40"/>
    <col collapsed="false" customWidth="true" hidden="false" outlineLevel="0" max="16" min="14" style="1" width="18"/>
    <col collapsed="false" customWidth="true" hidden="false" outlineLevel="0" max="17" min="17" style="1" width="40"/>
  </cols>
  <sheetData>
    <row r="1" customFormat="false" ht="15" hidden="false" customHeight="true" outlineLevel="0" collapsed="false">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row>
    <row r="2" customFormat="false" ht="15" hidden="false" customHeight="true" outlineLevel="0" collapsed="false">
      <c r="A2" s="6" t="s">
        <v>29</v>
      </c>
      <c r="B2" s="6" t="s">
        <v>30</v>
      </c>
      <c r="C2" s="6" t="s">
        <v>31</v>
      </c>
      <c r="D2" s="6" t="s">
        <v>32</v>
      </c>
      <c r="E2" s="6" t="s">
        <v>33</v>
      </c>
      <c r="F2" s="6" t="s">
        <v>34</v>
      </c>
      <c r="G2" s="6" t="s">
        <v>35</v>
      </c>
      <c r="H2" s="6" t="s">
        <v>36</v>
      </c>
      <c r="I2" s="6"/>
      <c r="J2" s="6"/>
      <c r="K2" s="6" t="s">
        <v>37</v>
      </c>
      <c r="L2" s="6"/>
      <c r="M2" s="7"/>
      <c r="N2" s="6"/>
      <c r="O2" s="6" t="s">
        <v>38</v>
      </c>
      <c r="P2" s="6" t="s">
        <v>39</v>
      </c>
      <c r="Q2" s="7" t="s">
        <v>40</v>
      </c>
    </row>
    <row r="3" customFormat="false" ht="15" hidden="false" customHeight="true" outlineLevel="0" collapsed="false">
      <c r="A3" s="6" t="s">
        <v>41</v>
      </c>
      <c r="B3" s="6" t="s">
        <v>42</v>
      </c>
      <c r="C3" s="6" t="s">
        <v>31</v>
      </c>
      <c r="D3" s="6" t="s">
        <v>32</v>
      </c>
      <c r="E3" s="6" t="s">
        <v>43</v>
      </c>
      <c r="F3" s="6" t="s">
        <v>44</v>
      </c>
      <c r="G3" s="6" t="s">
        <v>45</v>
      </c>
      <c r="H3" s="6" t="s">
        <v>46</v>
      </c>
      <c r="I3" s="6" t="s">
        <v>47</v>
      </c>
      <c r="J3" s="6" t="s">
        <v>48</v>
      </c>
      <c r="K3" s="6" t="s">
        <v>37</v>
      </c>
      <c r="L3" s="6"/>
      <c r="M3" s="7"/>
      <c r="N3" s="6"/>
      <c r="O3" s="6" t="s">
        <v>38</v>
      </c>
      <c r="P3" s="6" t="s">
        <v>39</v>
      </c>
      <c r="Q3" s="7"/>
    </row>
    <row r="4" customFormat="false" ht="45.75" hidden="false" customHeight="true" outlineLevel="0" collapsed="false">
      <c r="A4" s="6" t="s">
        <v>49</v>
      </c>
      <c r="B4" s="6" t="s">
        <v>50</v>
      </c>
      <c r="C4" s="6" t="s">
        <v>31</v>
      </c>
      <c r="D4" s="6" t="s">
        <v>32</v>
      </c>
      <c r="E4" s="6" t="s">
        <v>51</v>
      </c>
      <c r="F4" s="6" t="s">
        <v>52</v>
      </c>
      <c r="G4" s="6" t="s">
        <v>53</v>
      </c>
      <c r="H4" s="6" t="s">
        <v>54</v>
      </c>
      <c r="I4" s="6"/>
      <c r="J4" s="6"/>
      <c r="K4" s="6" t="s">
        <v>55</v>
      </c>
      <c r="L4" s="6" t="s">
        <v>56</v>
      </c>
      <c r="M4" s="7"/>
      <c r="N4" s="6" t="s">
        <v>57</v>
      </c>
      <c r="O4" s="6" t="s">
        <v>38</v>
      </c>
      <c r="P4" s="6" t="s">
        <v>39</v>
      </c>
      <c r="Q4" s="7" t="s">
        <v>58</v>
      </c>
    </row>
    <row r="5" customFormat="false" ht="23.25" hidden="false" customHeight="true" outlineLevel="0" collapsed="false">
      <c r="A5" s="6" t="s">
        <v>59</v>
      </c>
      <c r="B5" s="6" t="s">
        <v>60</v>
      </c>
      <c r="C5" s="6" t="s">
        <v>31</v>
      </c>
      <c r="D5" s="6" t="s">
        <v>32</v>
      </c>
      <c r="E5" s="6" t="s">
        <v>51</v>
      </c>
      <c r="F5" s="6" t="s">
        <v>61</v>
      </c>
      <c r="G5" s="6" t="s">
        <v>62</v>
      </c>
      <c r="H5" s="6" t="s">
        <v>63</v>
      </c>
      <c r="I5" s="6" t="s">
        <v>64</v>
      </c>
      <c r="J5" s="6" t="s">
        <v>48</v>
      </c>
      <c r="K5" s="6" t="s">
        <v>65</v>
      </c>
      <c r="L5" s="6" t="s">
        <v>66</v>
      </c>
      <c r="M5" s="7"/>
      <c r="N5" s="6" t="s">
        <v>67</v>
      </c>
      <c r="O5" s="6" t="s">
        <v>38</v>
      </c>
      <c r="P5" s="6" t="s">
        <v>39</v>
      </c>
      <c r="Q5" s="7" t="s">
        <v>68</v>
      </c>
    </row>
    <row r="6" customFormat="false" ht="34.5" hidden="false" customHeight="true" outlineLevel="0" collapsed="false">
      <c r="A6" s="6" t="s">
        <v>69</v>
      </c>
      <c r="B6" s="6" t="s">
        <v>70</v>
      </c>
      <c r="C6" s="6" t="s">
        <v>31</v>
      </c>
      <c r="D6" s="6" t="s">
        <v>32</v>
      </c>
      <c r="E6" s="6" t="s">
        <v>51</v>
      </c>
      <c r="F6" s="6" t="s">
        <v>71</v>
      </c>
      <c r="G6" s="6" t="s">
        <v>72</v>
      </c>
      <c r="H6" s="6"/>
      <c r="I6" s="6"/>
      <c r="J6" s="6"/>
      <c r="K6" s="6" t="s">
        <v>37</v>
      </c>
      <c r="L6" s="6"/>
      <c r="M6" s="7"/>
      <c r="N6" s="6"/>
      <c r="O6" s="6" t="s">
        <v>38</v>
      </c>
      <c r="P6" s="6" t="s">
        <v>39</v>
      </c>
      <c r="Q6" s="7" t="s">
        <v>73</v>
      </c>
    </row>
    <row r="7" customFormat="false" ht="23.25" hidden="false" customHeight="true" outlineLevel="0" collapsed="false">
      <c r="A7" s="6" t="s">
        <v>74</v>
      </c>
      <c r="B7" s="6" t="s">
        <v>75</v>
      </c>
      <c r="C7" s="6" t="s">
        <v>31</v>
      </c>
      <c r="D7" s="6" t="s">
        <v>32</v>
      </c>
      <c r="E7" s="6" t="s">
        <v>51</v>
      </c>
      <c r="F7" s="6" t="s">
        <v>76</v>
      </c>
      <c r="G7" s="6" t="s">
        <v>77</v>
      </c>
      <c r="H7" s="6" t="s">
        <v>78</v>
      </c>
      <c r="I7" s="6"/>
      <c r="J7" s="6"/>
      <c r="K7" s="6" t="s">
        <v>65</v>
      </c>
      <c r="L7" s="6" t="s">
        <v>66</v>
      </c>
      <c r="M7" s="7"/>
      <c r="N7" s="6" t="s">
        <v>67</v>
      </c>
      <c r="O7" s="6" t="s">
        <v>38</v>
      </c>
      <c r="P7" s="6" t="s">
        <v>39</v>
      </c>
      <c r="Q7" s="7" t="s">
        <v>79</v>
      </c>
    </row>
    <row r="8" customFormat="false" ht="23.25" hidden="false" customHeight="true" outlineLevel="0" collapsed="false">
      <c r="A8" s="6" t="s">
        <v>80</v>
      </c>
      <c r="B8" s="6" t="s">
        <v>81</v>
      </c>
      <c r="C8" s="6" t="s">
        <v>31</v>
      </c>
      <c r="D8" s="6" t="s">
        <v>32</v>
      </c>
      <c r="E8" s="6" t="s">
        <v>82</v>
      </c>
      <c r="F8" s="6" t="s">
        <v>83</v>
      </c>
      <c r="G8" s="6" t="s">
        <v>84</v>
      </c>
      <c r="H8" s="6" t="s">
        <v>85</v>
      </c>
      <c r="I8" s="6" t="s">
        <v>86</v>
      </c>
      <c r="J8" s="6" t="s">
        <v>48</v>
      </c>
      <c r="K8" s="6" t="s">
        <v>65</v>
      </c>
      <c r="L8" s="6" t="s">
        <v>87</v>
      </c>
      <c r="M8" s="7"/>
      <c r="N8" s="6" t="s">
        <v>88</v>
      </c>
      <c r="O8" s="6" t="s">
        <v>38</v>
      </c>
      <c r="P8" s="6" t="s">
        <v>39</v>
      </c>
      <c r="Q8" s="7" t="s">
        <v>89</v>
      </c>
    </row>
    <row r="9" customFormat="false" ht="15" hidden="false" customHeight="true" outlineLevel="0" collapsed="false">
      <c r="A9" s="6" t="s">
        <v>90</v>
      </c>
      <c r="B9" s="6" t="s">
        <v>91</v>
      </c>
      <c r="C9" s="6" t="s">
        <v>31</v>
      </c>
      <c r="D9" s="6" t="s">
        <v>32</v>
      </c>
      <c r="E9" s="6" t="s">
        <v>92</v>
      </c>
      <c r="F9" s="6" t="s">
        <v>93</v>
      </c>
      <c r="G9" s="6" t="s">
        <v>94</v>
      </c>
      <c r="H9" s="6" t="s">
        <v>95</v>
      </c>
      <c r="I9" s="6" t="s">
        <v>96</v>
      </c>
      <c r="J9" s="6" t="s">
        <v>48</v>
      </c>
      <c r="K9" s="6" t="s">
        <v>37</v>
      </c>
      <c r="L9" s="6"/>
      <c r="M9" s="7"/>
      <c r="N9" s="6"/>
      <c r="O9" s="6" t="s">
        <v>38</v>
      </c>
      <c r="P9" s="6" t="s">
        <v>39</v>
      </c>
      <c r="Q9" s="7"/>
    </row>
    <row r="10" customFormat="false" ht="15" hidden="false" customHeight="true" outlineLevel="0" collapsed="false">
      <c r="A10" s="6" t="s">
        <v>97</v>
      </c>
      <c r="B10" s="6" t="s">
        <v>98</v>
      </c>
      <c r="C10" s="6" t="s">
        <v>31</v>
      </c>
      <c r="D10" s="6" t="s">
        <v>32</v>
      </c>
      <c r="E10" s="6" t="s">
        <v>99</v>
      </c>
      <c r="F10" s="6" t="s">
        <v>100</v>
      </c>
      <c r="G10" s="6" t="s">
        <v>101</v>
      </c>
      <c r="H10" s="6" t="s">
        <v>1964</v>
      </c>
      <c r="I10" s="6" t="s">
        <v>103</v>
      </c>
      <c r="J10" s="6" t="s">
        <v>104</v>
      </c>
      <c r="K10" s="6" t="s">
        <v>37</v>
      </c>
      <c r="L10" s="6"/>
      <c r="M10" s="7"/>
      <c r="N10" s="6"/>
      <c r="O10" s="6" t="s">
        <v>38</v>
      </c>
      <c r="P10" s="6" t="s">
        <v>1966</v>
      </c>
      <c r="Q10" s="7" t="s">
        <v>105</v>
      </c>
    </row>
    <row r="11" customFormat="false" ht="34.5" hidden="false" customHeight="true" outlineLevel="0" collapsed="false">
      <c r="A11" s="6" t="s">
        <v>106</v>
      </c>
      <c r="B11" s="6" t="s">
        <v>107</v>
      </c>
      <c r="C11" s="6" t="s">
        <v>31</v>
      </c>
      <c r="D11" s="6" t="s">
        <v>32</v>
      </c>
      <c r="E11" s="6" t="s">
        <v>108</v>
      </c>
      <c r="F11" s="6" t="s">
        <v>109</v>
      </c>
      <c r="G11" s="6" t="s">
        <v>110</v>
      </c>
      <c r="H11" s="6" t="s">
        <v>111</v>
      </c>
      <c r="I11" s="6" t="s">
        <v>112</v>
      </c>
      <c r="J11" s="6" t="s">
        <v>48</v>
      </c>
      <c r="K11" s="6" t="s">
        <v>37</v>
      </c>
      <c r="L11" s="6"/>
      <c r="M11" s="7"/>
      <c r="N11" s="6"/>
      <c r="O11" s="6" t="s">
        <v>38</v>
      </c>
      <c r="P11" s="6" t="s">
        <v>39</v>
      </c>
      <c r="Q11" s="7" t="s">
        <v>113</v>
      </c>
    </row>
    <row r="12" customFormat="false" ht="34.5" hidden="false" customHeight="true" outlineLevel="0" collapsed="false">
      <c r="A12" s="6" t="s">
        <v>114</v>
      </c>
      <c r="B12" s="6" t="s">
        <v>115</v>
      </c>
      <c r="C12" s="6" t="s">
        <v>31</v>
      </c>
      <c r="D12" s="6" t="s">
        <v>32</v>
      </c>
      <c r="E12" s="6" t="s">
        <v>116</v>
      </c>
      <c r="F12" s="6" t="s">
        <v>117</v>
      </c>
      <c r="G12" s="6" t="s">
        <v>118</v>
      </c>
      <c r="H12" s="6" t="s">
        <v>119</v>
      </c>
      <c r="I12" s="6" t="s">
        <v>120</v>
      </c>
      <c r="J12" s="6" t="s">
        <v>104</v>
      </c>
      <c r="K12" s="6" t="s">
        <v>37</v>
      </c>
      <c r="L12" s="6"/>
      <c r="M12" s="7"/>
      <c r="N12" s="6"/>
      <c r="O12" s="6" t="s">
        <v>38</v>
      </c>
      <c r="P12" s="6" t="s">
        <v>39</v>
      </c>
      <c r="Q12" s="7" t="s">
        <v>121</v>
      </c>
    </row>
    <row r="13" customFormat="false" ht="15" hidden="false" customHeight="true" outlineLevel="0" collapsed="false">
      <c r="A13" s="6" t="s">
        <v>122</v>
      </c>
      <c r="B13" s="6" t="s">
        <v>123</v>
      </c>
      <c r="C13" s="6" t="s">
        <v>31</v>
      </c>
      <c r="D13" s="6" t="s">
        <v>32</v>
      </c>
      <c r="E13" s="6" t="s">
        <v>51</v>
      </c>
      <c r="F13" s="6" t="s">
        <v>124</v>
      </c>
      <c r="G13" s="6" t="s">
        <v>125</v>
      </c>
      <c r="H13" s="6" t="s">
        <v>126</v>
      </c>
      <c r="I13" s="6" t="s">
        <v>127</v>
      </c>
      <c r="J13" s="6" t="s">
        <v>48</v>
      </c>
      <c r="K13" s="6" t="s">
        <v>55</v>
      </c>
      <c r="L13" s="6" t="s">
        <v>128</v>
      </c>
      <c r="M13" s="7"/>
      <c r="N13" s="6" t="s">
        <v>126</v>
      </c>
      <c r="O13" s="6" t="s">
        <v>38</v>
      </c>
      <c r="P13" s="6" t="s">
        <v>39</v>
      </c>
      <c r="Q13" s="7" t="s">
        <v>129</v>
      </c>
    </row>
    <row r="14" customFormat="false" ht="15" hidden="false" customHeight="true" outlineLevel="0" collapsed="false">
      <c r="A14" s="6" t="s">
        <v>130</v>
      </c>
      <c r="B14" s="6" t="s">
        <v>131</v>
      </c>
      <c r="C14" s="6" t="s">
        <v>31</v>
      </c>
      <c r="D14" s="6" t="s">
        <v>32</v>
      </c>
      <c r="E14" s="6" t="s">
        <v>51</v>
      </c>
      <c r="F14" s="6" t="s">
        <v>132</v>
      </c>
      <c r="G14" s="6" t="s">
        <v>133</v>
      </c>
      <c r="H14" s="6"/>
      <c r="I14" s="6"/>
      <c r="J14" s="6"/>
      <c r="K14" s="6" t="s">
        <v>37</v>
      </c>
      <c r="L14" s="6"/>
      <c r="M14" s="7"/>
      <c r="N14" s="6"/>
      <c r="O14" s="6" t="s">
        <v>38</v>
      </c>
      <c r="P14" s="6" t="s">
        <v>39</v>
      </c>
      <c r="Q14" s="7"/>
    </row>
    <row r="15" customFormat="false" ht="23.25" hidden="false" customHeight="true" outlineLevel="0" collapsed="false">
      <c r="A15" s="6" t="s">
        <v>134</v>
      </c>
      <c r="B15" s="6" t="s">
        <v>135</v>
      </c>
      <c r="C15" s="6" t="s">
        <v>136</v>
      </c>
      <c r="D15" s="6" t="s">
        <v>32</v>
      </c>
      <c r="E15" s="6" t="s">
        <v>51</v>
      </c>
      <c r="F15" s="6" t="s">
        <v>137</v>
      </c>
      <c r="G15" s="6" t="s">
        <v>138</v>
      </c>
      <c r="H15" s="6" t="s">
        <v>139</v>
      </c>
      <c r="I15" s="6" t="s">
        <v>140</v>
      </c>
      <c r="J15" s="6" t="s">
        <v>48</v>
      </c>
      <c r="K15" s="6" t="s">
        <v>55</v>
      </c>
      <c r="L15" s="6" t="s">
        <v>128</v>
      </c>
      <c r="M15" s="7"/>
      <c r="N15" s="6" t="s">
        <v>141</v>
      </c>
      <c r="O15" s="6" t="s">
        <v>38</v>
      </c>
      <c r="P15" s="6" t="s">
        <v>39</v>
      </c>
      <c r="Q15" s="7" t="s">
        <v>142</v>
      </c>
    </row>
    <row r="16" customFormat="false" ht="23.25" hidden="false" customHeight="true" outlineLevel="0" collapsed="false">
      <c r="A16" s="6" t="s">
        <v>143</v>
      </c>
      <c r="B16" s="6" t="s">
        <v>144</v>
      </c>
      <c r="C16" s="6" t="s">
        <v>31</v>
      </c>
      <c r="D16" s="6" t="s">
        <v>32</v>
      </c>
      <c r="E16" s="6" t="s">
        <v>33</v>
      </c>
      <c r="F16" s="6" t="s">
        <v>145</v>
      </c>
      <c r="G16" s="6" t="s">
        <v>146</v>
      </c>
      <c r="H16" s="6" t="s">
        <v>147</v>
      </c>
      <c r="I16" s="6" t="s">
        <v>148</v>
      </c>
      <c r="J16" s="6" t="s">
        <v>48</v>
      </c>
      <c r="K16" s="6" t="s">
        <v>37</v>
      </c>
      <c r="L16" s="6"/>
      <c r="M16" s="7"/>
      <c r="N16" s="6"/>
      <c r="O16" s="6" t="s">
        <v>38</v>
      </c>
      <c r="P16" s="6" t="s">
        <v>39</v>
      </c>
      <c r="Q16" s="7" t="s">
        <v>149</v>
      </c>
    </row>
    <row r="17" customFormat="false" ht="15" hidden="false" customHeight="true" outlineLevel="0" collapsed="false">
      <c r="A17" s="6" t="s">
        <v>150</v>
      </c>
      <c r="B17" s="6" t="s">
        <v>151</v>
      </c>
      <c r="C17" s="6" t="s">
        <v>136</v>
      </c>
      <c r="D17" s="6" t="s">
        <v>32</v>
      </c>
      <c r="E17" s="6" t="s">
        <v>152</v>
      </c>
      <c r="F17" s="6" t="s">
        <v>153</v>
      </c>
      <c r="G17" s="6" t="s">
        <v>154</v>
      </c>
      <c r="H17" s="6"/>
      <c r="I17" s="6"/>
      <c r="J17" s="6"/>
      <c r="K17" s="6" t="s">
        <v>37</v>
      </c>
      <c r="L17" s="6"/>
      <c r="M17" s="7"/>
      <c r="N17" s="6"/>
      <c r="O17" s="6" t="s">
        <v>38</v>
      </c>
      <c r="P17" s="6" t="s">
        <v>39</v>
      </c>
      <c r="Q17" s="7" t="s">
        <v>155</v>
      </c>
    </row>
    <row r="18" customFormat="false" ht="45.75" hidden="false" customHeight="true" outlineLevel="0" collapsed="false">
      <c r="A18" s="6" t="s">
        <v>156</v>
      </c>
      <c r="B18" s="6" t="s">
        <v>157</v>
      </c>
      <c r="C18" s="6" t="s">
        <v>31</v>
      </c>
      <c r="D18" s="6" t="s">
        <v>32</v>
      </c>
      <c r="E18" s="6" t="s">
        <v>51</v>
      </c>
      <c r="F18" s="6" t="s">
        <v>158</v>
      </c>
      <c r="G18" s="6" t="s">
        <v>159</v>
      </c>
      <c r="H18" s="6"/>
      <c r="I18" s="6"/>
      <c r="J18" s="6"/>
      <c r="K18" s="6" t="s">
        <v>37</v>
      </c>
      <c r="L18" s="6"/>
      <c r="M18" s="7"/>
      <c r="N18" s="6"/>
      <c r="O18" s="6" t="s">
        <v>38</v>
      </c>
      <c r="P18" s="6" t="s">
        <v>39</v>
      </c>
      <c r="Q18" s="7" t="s">
        <v>160</v>
      </c>
    </row>
    <row r="19" customFormat="false" ht="57" hidden="false" customHeight="true" outlineLevel="0" collapsed="false">
      <c r="A19" s="6" t="s">
        <v>161</v>
      </c>
      <c r="B19" s="6" t="s">
        <v>162</v>
      </c>
      <c r="C19" s="6" t="s">
        <v>136</v>
      </c>
      <c r="D19" s="6" t="s">
        <v>32</v>
      </c>
      <c r="E19" s="6" t="s">
        <v>51</v>
      </c>
      <c r="F19" s="6" t="s">
        <v>163</v>
      </c>
      <c r="G19" s="6" t="s">
        <v>164</v>
      </c>
      <c r="H19" s="6" t="s">
        <v>165</v>
      </c>
      <c r="I19" s="6" t="s">
        <v>166</v>
      </c>
      <c r="J19" s="6" t="s">
        <v>167</v>
      </c>
      <c r="K19" s="6" t="s">
        <v>65</v>
      </c>
      <c r="L19" s="6" t="s">
        <v>168</v>
      </c>
      <c r="M19" s="7" t="s">
        <v>169</v>
      </c>
      <c r="N19" s="6" t="s">
        <v>170</v>
      </c>
      <c r="O19" s="6" t="s">
        <v>38</v>
      </c>
      <c r="P19" s="6" t="s">
        <v>39</v>
      </c>
      <c r="Q19" s="7" t="s">
        <v>171</v>
      </c>
    </row>
    <row r="20" customFormat="false" ht="23.25" hidden="false" customHeight="true" outlineLevel="0" collapsed="false">
      <c r="A20" s="6" t="s">
        <v>172</v>
      </c>
      <c r="B20" s="6" t="s">
        <v>173</v>
      </c>
      <c r="C20" s="6" t="s">
        <v>31</v>
      </c>
      <c r="D20" s="6" t="s">
        <v>32</v>
      </c>
      <c r="E20" s="6" t="s">
        <v>51</v>
      </c>
      <c r="F20" s="6" t="s">
        <v>174</v>
      </c>
      <c r="G20" s="6" t="s">
        <v>175</v>
      </c>
      <c r="H20" s="6"/>
      <c r="I20" s="6" t="s">
        <v>176</v>
      </c>
      <c r="J20" s="6" t="s">
        <v>48</v>
      </c>
      <c r="K20" s="6" t="s">
        <v>37</v>
      </c>
      <c r="L20" s="6"/>
      <c r="M20" s="7"/>
      <c r="N20" s="6"/>
      <c r="O20" s="6" t="s">
        <v>38</v>
      </c>
      <c r="P20" s="6" t="s">
        <v>39</v>
      </c>
      <c r="Q20" s="7" t="s">
        <v>177</v>
      </c>
    </row>
    <row r="21" customFormat="false" ht="15" hidden="false" customHeight="true" outlineLevel="0" collapsed="false">
      <c r="A21" s="6" t="s">
        <v>178</v>
      </c>
      <c r="B21" s="6" t="s">
        <v>179</v>
      </c>
      <c r="C21" s="6" t="s">
        <v>31</v>
      </c>
      <c r="D21" s="6" t="s">
        <v>32</v>
      </c>
      <c r="E21" s="6" t="s">
        <v>180</v>
      </c>
      <c r="F21" s="6" t="s">
        <v>181</v>
      </c>
      <c r="G21" s="6" t="s">
        <v>182</v>
      </c>
      <c r="H21" s="6"/>
      <c r="I21" s="6"/>
      <c r="J21" s="6"/>
      <c r="K21" s="6" t="s">
        <v>37</v>
      </c>
      <c r="L21" s="6"/>
      <c r="M21" s="7"/>
      <c r="N21" s="6"/>
      <c r="O21" s="6" t="s">
        <v>38</v>
      </c>
      <c r="P21" s="6" t="s">
        <v>39</v>
      </c>
      <c r="Q21" s="7"/>
    </row>
    <row r="22" customFormat="false" ht="23.25" hidden="false" customHeight="true" outlineLevel="0" collapsed="false">
      <c r="A22" s="6" t="s">
        <v>183</v>
      </c>
      <c r="B22" s="6" t="s">
        <v>184</v>
      </c>
      <c r="C22" s="6" t="s">
        <v>31</v>
      </c>
      <c r="D22" s="6" t="s">
        <v>32</v>
      </c>
      <c r="E22" s="6" t="s">
        <v>99</v>
      </c>
      <c r="F22" s="6" t="s">
        <v>185</v>
      </c>
      <c r="G22" s="6" t="s">
        <v>186</v>
      </c>
      <c r="H22" s="6"/>
      <c r="I22" s="6"/>
      <c r="J22" s="6"/>
      <c r="K22" s="6" t="s">
        <v>37</v>
      </c>
      <c r="L22" s="6"/>
      <c r="M22" s="7"/>
      <c r="N22" s="6"/>
      <c r="O22" s="6" t="s">
        <v>38</v>
      </c>
      <c r="P22" s="6" t="s">
        <v>39</v>
      </c>
      <c r="Q22" s="7" t="s">
        <v>187</v>
      </c>
    </row>
    <row r="23" customFormat="false" ht="23.25" hidden="false" customHeight="true" outlineLevel="0" collapsed="false">
      <c r="A23" s="6" t="s">
        <v>188</v>
      </c>
      <c r="B23" s="6" t="s">
        <v>189</v>
      </c>
      <c r="C23" s="6" t="s">
        <v>31</v>
      </c>
      <c r="D23" s="6" t="s">
        <v>32</v>
      </c>
      <c r="E23" s="6" t="s">
        <v>51</v>
      </c>
      <c r="F23" s="6" t="s">
        <v>190</v>
      </c>
      <c r="G23" s="6" t="s">
        <v>191</v>
      </c>
      <c r="H23" s="6"/>
      <c r="I23" s="6" t="s">
        <v>192</v>
      </c>
      <c r="J23" s="6" t="s">
        <v>48</v>
      </c>
      <c r="K23" s="6" t="s">
        <v>37</v>
      </c>
      <c r="L23" s="6"/>
      <c r="M23" s="7"/>
      <c r="N23" s="6"/>
      <c r="O23" s="6" t="s">
        <v>38</v>
      </c>
      <c r="P23" s="6" t="s">
        <v>39</v>
      </c>
      <c r="Q23" s="7" t="s">
        <v>193</v>
      </c>
    </row>
    <row r="24" customFormat="false" ht="34.5" hidden="false" customHeight="true" outlineLevel="0" collapsed="false">
      <c r="A24" s="6" t="s">
        <v>194</v>
      </c>
      <c r="B24" s="6" t="s">
        <v>195</v>
      </c>
      <c r="C24" s="6" t="s">
        <v>31</v>
      </c>
      <c r="D24" s="6" t="s">
        <v>32</v>
      </c>
      <c r="E24" s="6" t="s">
        <v>51</v>
      </c>
      <c r="F24" s="6" t="s">
        <v>196</v>
      </c>
      <c r="G24" s="6" t="s">
        <v>197</v>
      </c>
      <c r="H24" s="6"/>
      <c r="I24" s="6" t="s">
        <v>198</v>
      </c>
      <c r="J24" s="6" t="s">
        <v>104</v>
      </c>
      <c r="K24" s="6" t="s">
        <v>37</v>
      </c>
      <c r="L24" s="6"/>
      <c r="M24" s="7"/>
      <c r="N24" s="6"/>
      <c r="O24" s="6" t="s">
        <v>38</v>
      </c>
      <c r="P24" s="6" t="s">
        <v>39</v>
      </c>
      <c r="Q24" s="7" t="s">
        <v>199</v>
      </c>
    </row>
    <row r="25" customFormat="false" ht="15" hidden="false" customHeight="true" outlineLevel="0" collapsed="false">
      <c r="A25" s="6" t="s">
        <v>200</v>
      </c>
      <c r="B25" s="6" t="s">
        <v>201</v>
      </c>
      <c r="C25" s="6" t="s">
        <v>31</v>
      </c>
      <c r="D25" s="6" t="s">
        <v>32</v>
      </c>
      <c r="E25" s="6" t="s">
        <v>202</v>
      </c>
      <c r="F25" s="6" t="s">
        <v>203</v>
      </c>
      <c r="G25" s="6" t="s">
        <v>204</v>
      </c>
      <c r="H25" s="6"/>
      <c r="I25" s="6"/>
      <c r="J25" s="6"/>
      <c r="K25" s="6" t="s">
        <v>37</v>
      </c>
      <c r="L25" s="6"/>
      <c r="M25" s="7"/>
      <c r="N25" s="6"/>
      <c r="O25" s="6" t="s">
        <v>38</v>
      </c>
      <c r="P25" s="6" t="s">
        <v>39</v>
      </c>
      <c r="Q25" s="7" t="s">
        <v>205</v>
      </c>
    </row>
    <row r="26" customFormat="false" ht="57" hidden="false" customHeight="true" outlineLevel="0" collapsed="false">
      <c r="A26" s="6" t="s">
        <v>206</v>
      </c>
      <c r="B26" s="6" t="s">
        <v>207</v>
      </c>
      <c r="C26" s="6" t="s">
        <v>136</v>
      </c>
      <c r="D26" s="6" t="s">
        <v>32</v>
      </c>
      <c r="E26" s="6" t="s">
        <v>33</v>
      </c>
      <c r="F26" s="6" t="s">
        <v>208</v>
      </c>
      <c r="G26" s="6" t="s">
        <v>209</v>
      </c>
      <c r="H26" s="6" t="s">
        <v>210</v>
      </c>
      <c r="I26" s="6" t="s">
        <v>211</v>
      </c>
      <c r="J26" s="6" t="s">
        <v>167</v>
      </c>
      <c r="K26" s="6" t="s">
        <v>65</v>
      </c>
      <c r="L26" s="6" t="s">
        <v>168</v>
      </c>
      <c r="M26" s="7" t="s">
        <v>169</v>
      </c>
      <c r="N26" s="6" t="s">
        <v>170</v>
      </c>
      <c r="O26" s="6" t="s">
        <v>38</v>
      </c>
      <c r="P26" s="6" t="s">
        <v>39</v>
      </c>
      <c r="Q26" s="7" t="s">
        <v>212</v>
      </c>
    </row>
    <row r="27" customFormat="false" ht="34.5" hidden="false" customHeight="true" outlineLevel="0" collapsed="false">
      <c r="A27" s="6" t="s">
        <v>213</v>
      </c>
      <c r="B27" s="6" t="s">
        <v>214</v>
      </c>
      <c r="C27" s="6" t="s">
        <v>136</v>
      </c>
      <c r="D27" s="6" t="s">
        <v>32</v>
      </c>
      <c r="E27" s="6" t="s">
        <v>152</v>
      </c>
      <c r="F27" s="6" t="s">
        <v>215</v>
      </c>
      <c r="G27" s="6" t="s">
        <v>216</v>
      </c>
      <c r="H27" s="6" t="s">
        <v>217</v>
      </c>
      <c r="I27" s="6" t="s">
        <v>218</v>
      </c>
      <c r="J27" s="6" t="s">
        <v>104</v>
      </c>
      <c r="K27" s="6" t="s">
        <v>37</v>
      </c>
      <c r="L27" s="6"/>
      <c r="M27" s="7"/>
      <c r="N27" s="6"/>
      <c r="O27" s="6" t="s">
        <v>38</v>
      </c>
      <c r="P27" s="6" t="s">
        <v>39</v>
      </c>
      <c r="Q27" s="7" t="s">
        <v>219</v>
      </c>
    </row>
    <row r="28" customFormat="false" ht="57" hidden="false" customHeight="true" outlineLevel="0" collapsed="false">
      <c r="A28" s="6" t="s">
        <v>220</v>
      </c>
      <c r="B28" s="6" t="s">
        <v>221</v>
      </c>
      <c r="C28" s="6" t="s">
        <v>136</v>
      </c>
      <c r="D28" s="6" t="s">
        <v>32</v>
      </c>
      <c r="E28" s="6" t="s">
        <v>33</v>
      </c>
      <c r="F28" s="6" t="s">
        <v>222</v>
      </c>
      <c r="G28" s="6" t="s">
        <v>223</v>
      </c>
      <c r="H28" s="6" t="s">
        <v>224</v>
      </c>
      <c r="I28" s="6" t="s">
        <v>225</v>
      </c>
      <c r="J28" s="6" t="s">
        <v>167</v>
      </c>
      <c r="K28" s="6" t="s">
        <v>65</v>
      </c>
      <c r="L28" s="6" t="s">
        <v>168</v>
      </c>
      <c r="M28" s="7" t="s">
        <v>169</v>
      </c>
      <c r="N28" s="6" t="s">
        <v>170</v>
      </c>
      <c r="O28" s="6" t="s">
        <v>38</v>
      </c>
      <c r="P28" s="6" t="s">
        <v>39</v>
      </c>
      <c r="Q28" s="7" t="s">
        <v>226</v>
      </c>
    </row>
    <row r="29" customFormat="false" ht="15" hidden="false" customHeight="true" outlineLevel="0" collapsed="false">
      <c r="A29" s="6" t="s">
        <v>227</v>
      </c>
      <c r="B29" s="6" t="s">
        <v>228</v>
      </c>
      <c r="C29" s="6" t="s">
        <v>136</v>
      </c>
      <c r="D29" s="6" t="s">
        <v>32</v>
      </c>
      <c r="E29" s="6" t="s">
        <v>152</v>
      </c>
      <c r="F29" s="6" t="s">
        <v>229</v>
      </c>
      <c r="G29" s="6" t="s">
        <v>230</v>
      </c>
      <c r="H29" s="6" t="s">
        <v>231</v>
      </c>
      <c r="I29" s="6" t="s">
        <v>232</v>
      </c>
      <c r="J29" s="6" t="s">
        <v>48</v>
      </c>
      <c r="K29" s="6" t="s">
        <v>37</v>
      </c>
      <c r="L29" s="6"/>
      <c r="M29" s="7"/>
      <c r="N29" s="6"/>
      <c r="O29" s="6" t="s">
        <v>38</v>
      </c>
      <c r="P29" s="6" t="s">
        <v>39</v>
      </c>
      <c r="Q29" s="7" t="s">
        <v>233</v>
      </c>
    </row>
    <row r="30" customFormat="false" ht="15" hidden="false" customHeight="true" outlineLevel="0" collapsed="false">
      <c r="A30" s="6" t="s">
        <v>234</v>
      </c>
      <c r="B30" s="6" t="s">
        <v>235</v>
      </c>
      <c r="C30" s="6" t="s">
        <v>136</v>
      </c>
      <c r="D30" s="6" t="s">
        <v>32</v>
      </c>
      <c r="E30" s="6" t="s">
        <v>33</v>
      </c>
      <c r="F30" s="6" t="s">
        <v>236</v>
      </c>
      <c r="G30" s="6" t="s">
        <v>237</v>
      </c>
      <c r="H30" s="6" t="s">
        <v>238</v>
      </c>
      <c r="I30" s="6" t="s">
        <v>239</v>
      </c>
      <c r="J30" s="6" t="s">
        <v>104</v>
      </c>
      <c r="K30" s="6" t="s">
        <v>37</v>
      </c>
      <c r="L30" s="6"/>
      <c r="M30" s="7" t="s">
        <v>240</v>
      </c>
      <c r="N30" s="6"/>
      <c r="O30" s="6" t="s">
        <v>38</v>
      </c>
      <c r="P30" s="6" t="s">
        <v>39</v>
      </c>
      <c r="Q30" s="7" t="s">
        <v>241</v>
      </c>
    </row>
    <row r="31" customFormat="false" ht="15" hidden="false" customHeight="true" outlineLevel="0" collapsed="false">
      <c r="A31" s="6" t="s">
        <v>242</v>
      </c>
      <c r="B31" s="6" t="s">
        <v>243</v>
      </c>
      <c r="C31" s="6" t="s">
        <v>136</v>
      </c>
      <c r="D31" s="6" t="s">
        <v>32</v>
      </c>
      <c r="E31" s="6" t="s">
        <v>33</v>
      </c>
      <c r="F31" s="6" t="s">
        <v>244</v>
      </c>
      <c r="G31" s="6" t="s">
        <v>245</v>
      </c>
      <c r="H31" s="6" t="s">
        <v>246</v>
      </c>
      <c r="I31" s="6"/>
      <c r="J31" s="6"/>
      <c r="K31" s="6" t="s">
        <v>37</v>
      </c>
      <c r="L31" s="6"/>
      <c r="M31" s="7"/>
      <c r="N31" s="6"/>
      <c r="O31" s="6" t="s">
        <v>38</v>
      </c>
      <c r="P31" s="6" t="s">
        <v>39</v>
      </c>
      <c r="Q31" s="7" t="s">
        <v>247</v>
      </c>
    </row>
    <row r="32" customFormat="false" ht="57" hidden="false" customHeight="true" outlineLevel="0" collapsed="false">
      <c r="A32" s="6" t="s">
        <v>248</v>
      </c>
      <c r="B32" s="6" t="s">
        <v>249</v>
      </c>
      <c r="C32" s="6" t="s">
        <v>136</v>
      </c>
      <c r="D32" s="6" t="s">
        <v>32</v>
      </c>
      <c r="E32" s="6" t="s">
        <v>152</v>
      </c>
      <c r="F32" s="6" t="s">
        <v>250</v>
      </c>
      <c r="G32" s="6" t="s">
        <v>251</v>
      </c>
      <c r="H32" s="6" t="s">
        <v>252</v>
      </c>
      <c r="I32" s="6" t="s">
        <v>253</v>
      </c>
      <c r="J32" s="6" t="s">
        <v>104</v>
      </c>
      <c r="K32" s="6" t="s">
        <v>65</v>
      </c>
      <c r="L32" s="6" t="s">
        <v>168</v>
      </c>
      <c r="M32" s="7" t="s">
        <v>169</v>
      </c>
      <c r="N32" s="6" t="s">
        <v>170</v>
      </c>
      <c r="O32" s="6" t="s">
        <v>38</v>
      </c>
      <c r="P32" s="6" t="s">
        <v>39</v>
      </c>
      <c r="Q32" s="7" t="s">
        <v>171</v>
      </c>
    </row>
    <row r="33" customFormat="false" ht="15" hidden="false" customHeight="true" outlineLevel="0" collapsed="false">
      <c r="A33" s="6" t="s">
        <v>254</v>
      </c>
      <c r="B33" s="6" t="s">
        <v>255</v>
      </c>
      <c r="C33" s="6" t="s">
        <v>256</v>
      </c>
      <c r="D33" s="6" t="s">
        <v>32</v>
      </c>
      <c r="E33" s="6" t="s">
        <v>257</v>
      </c>
      <c r="F33" s="6" t="s">
        <v>258</v>
      </c>
      <c r="G33" s="6" t="s">
        <v>259</v>
      </c>
      <c r="H33" s="6" t="s">
        <v>260</v>
      </c>
      <c r="I33" s="6"/>
      <c r="J33" s="6"/>
      <c r="K33" s="6" t="s">
        <v>37</v>
      </c>
      <c r="L33" s="6"/>
      <c r="M33" s="7"/>
      <c r="N33" s="6"/>
      <c r="O33" s="6" t="s">
        <v>261</v>
      </c>
      <c r="P33" s="6" t="s">
        <v>39</v>
      </c>
      <c r="Q33" s="7" t="s">
        <v>262</v>
      </c>
    </row>
    <row r="34" customFormat="false" ht="15" hidden="false" customHeight="true" outlineLevel="0" collapsed="false">
      <c r="A34" s="6" t="s">
        <v>263</v>
      </c>
      <c r="B34" s="6" t="s">
        <v>264</v>
      </c>
      <c r="C34" s="6" t="s">
        <v>256</v>
      </c>
      <c r="D34" s="6" t="s">
        <v>32</v>
      </c>
      <c r="E34" s="6" t="s">
        <v>265</v>
      </c>
      <c r="F34" s="6" t="s">
        <v>266</v>
      </c>
      <c r="G34" s="6" t="s">
        <v>267</v>
      </c>
      <c r="H34" s="6" t="s">
        <v>268</v>
      </c>
      <c r="I34" s="6"/>
      <c r="J34" s="6"/>
      <c r="K34" s="6" t="s">
        <v>37</v>
      </c>
      <c r="L34" s="6"/>
      <c r="M34" s="7"/>
      <c r="N34" s="6"/>
      <c r="O34" s="6" t="s">
        <v>261</v>
      </c>
      <c r="P34" s="6" t="s">
        <v>39</v>
      </c>
      <c r="Q34" s="7" t="s">
        <v>262</v>
      </c>
    </row>
    <row r="35" customFormat="false" ht="15" hidden="false" customHeight="true" outlineLevel="0" collapsed="false">
      <c r="A35" s="6" t="s">
        <v>269</v>
      </c>
      <c r="B35" s="6" t="s">
        <v>270</v>
      </c>
      <c r="C35" s="6" t="s">
        <v>136</v>
      </c>
      <c r="D35" s="6" t="s">
        <v>32</v>
      </c>
      <c r="E35" s="6" t="s">
        <v>265</v>
      </c>
      <c r="F35" s="6" t="s">
        <v>271</v>
      </c>
      <c r="G35" s="6" t="s">
        <v>272</v>
      </c>
      <c r="H35" s="6" t="s">
        <v>273</v>
      </c>
      <c r="I35" s="6"/>
      <c r="J35" s="6"/>
      <c r="K35" s="6" t="s">
        <v>37</v>
      </c>
      <c r="L35" s="6"/>
      <c r="M35" s="7"/>
      <c r="N35" s="6"/>
      <c r="O35" s="6" t="s">
        <v>261</v>
      </c>
      <c r="P35" s="6" t="s">
        <v>39</v>
      </c>
      <c r="Q35" s="7" t="s">
        <v>274</v>
      </c>
    </row>
    <row r="36" customFormat="false" ht="15" hidden="false" customHeight="true" outlineLevel="0" collapsed="false">
      <c r="A36" s="6" t="s">
        <v>275</v>
      </c>
      <c r="B36" s="6" t="s">
        <v>276</v>
      </c>
      <c r="C36" s="6" t="s">
        <v>31</v>
      </c>
      <c r="D36" s="6" t="s">
        <v>32</v>
      </c>
      <c r="E36" s="6" t="s">
        <v>82</v>
      </c>
      <c r="F36" s="6" t="s">
        <v>277</v>
      </c>
      <c r="G36" s="6" t="s">
        <v>278</v>
      </c>
      <c r="H36" s="6" t="s">
        <v>279</v>
      </c>
      <c r="I36" s="6"/>
      <c r="J36" s="6"/>
      <c r="K36" s="6" t="s">
        <v>37</v>
      </c>
      <c r="L36" s="6"/>
      <c r="M36" s="7"/>
      <c r="N36" s="6"/>
      <c r="O36" s="6" t="s">
        <v>261</v>
      </c>
      <c r="P36" s="6" t="s">
        <v>39</v>
      </c>
      <c r="Q36" s="7" t="s">
        <v>280</v>
      </c>
    </row>
    <row r="37" customFormat="false" ht="15" hidden="false" customHeight="true" outlineLevel="0" collapsed="false">
      <c r="A37" s="6" t="s">
        <v>281</v>
      </c>
      <c r="B37" s="6" t="s">
        <v>282</v>
      </c>
      <c r="C37" s="6" t="s">
        <v>256</v>
      </c>
      <c r="D37" s="6" t="s">
        <v>32</v>
      </c>
      <c r="E37" s="6" t="s">
        <v>51</v>
      </c>
      <c r="F37" s="6" t="s">
        <v>283</v>
      </c>
      <c r="G37" s="6" t="s">
        <v>284</v>
      </c>
      <c r="H37" s="6"/>
      <c r="I37" s="6"/>
      <c r="J37" s="6"/>
      <c r="K37" s="6" t="s">
        <v>37</v>
      </c>
      <c r="L37" s="6"/>
      <c r="M37" s="7"/>
      <c r="N37" s="6"/>
      <c r="O37" s="6" t="s">
        <v>261</v>
      </c>
      <c r="P37" s="6" t="s">
        <v>39</v>
      </c>
      <c r="Q37" s="7" t="s">
        <v>262</v>
      </c>
    </row>
    <row r="38" customFormat="false" ht="15" hidden="false" customHeight="true" outlineLevel="0" collapsed="false">
      <c r="A38" s="6" t="s">
        <v>285</v>
      </c>
      <c r="B38" s="6" t="s">
        <v>286</v>
      </c>
      <c r="C38" s="6" t="s">
        <v>256</v>
      </c>
      <c r="D38" s="6" t="s">
        <v>32</v>
      </c>
      <c r="E38" s="6" t="s">
        <v>51</v>
      </c>
      <c r="F38" s="6" t="s">
        <v>287</v>
      </c>
      <c r="G38" s="6" t="s">
        <v>288</v>
      </c>
      <c r="H38" s="6" t="s">
        <v>289</v>
      </c>
      <c r="I38" s="6"/>
      <c r="J38" s="6"/>
      <c r="K38" s="6" t="s">
        <v>37</v>
      </c>
      <c r="L38" s="6"/>
      <c r="M38" s="7"/>
      <c r="N38" s="6"/>
      <c r="O38" s="6" t="s">
        <v>261</v>
      </c>
      <c r="P38" s="6" t="s">
        <v>39</v>
      </c>
      <c r="Q38" s="7" t="s">
        <v>262</v>
      </c>
    </row>
    <row r="39" customFormat="false" ht="15" hidden="false" customHeight="true" outlineLevel="0" collapsed="false">
      <c r="A39" s="6" t="s">
        <v>290</v>
      </c>
      <c r="B39" s="6" t="s">
        <v>291</v>
      </c>
      <c r="C39" s="6" t="s">
        <v>256</v>
      </c>
      <c r="D39" s="6" t="s">
        <v>32</v>
      </c>
      <c r="E39" s="6" t="s">
        <v>51</v>
      </c>
      <c r="F39" s="6" t="s">
        <v>292</v>
      </c>
      <c r="G39" s="6" t="s">
        <v>293</v>
      </c>
      <c r="H39" s="6" t="s">
        <v>294</v>
      </c>
      <c r="I39" s="6"/>
      <c r="J39" s="6"/>
      <c r="K39" s="6" t="s">
        <v>37</v>
      </c>
      <c r="L39" s="6"/>
      <c r="M39" s="7"/>
      <c r="N39" s="6"/>
      <c r="O39" s="6" t="s">
        <v>261</v>
      </c>
      <c r="P39" s="6" t="s">
        <v>39</v>
      </c>
      <c r="Q39" s="7" t="s">
        <v>274</v>
      </c>
    </row>
    <row r="40" customFormat="false" ht="23.25" hidden="false" customHeight="true" outlineLevel="0" collapsed="false">
      <c r="A40" s="6" t="s">
        <v>295</v>
      </c>
      <c r="B40" s="6" t="s">
        <v>296</v>
      </c>
      <c r="C40" s="6" t="s">
        <v>256</v>
      </c>
      <c r="D40" s="6" t="s">
        <v>32</v>
      </c>
      <c r="E40" s="6" t="s">
        <v>51</v>
      </c>
      <c r="F40" s="6" t="s">
        <v>297</v>
      </c>
      <c r="G40" s="6" t="s">
        <v>298</v>
      </c>
      <c r="H40" s="6"/>
      <c r="I40" s="6"/>
      <c r="J40" s="6"/>
      <c r="K40" s="6" t="s">
        <v>37</v>
      </c>
      <c r="L40" s="6"/>
      <c r="M40" s="7"/>
      <c r="N40" s="6"/>
      <c r="O40" s="6" t="s">
        <v>261</v>
      </c>
      <c r="P40" s="6" t="s">
        <v>39</v>
      </c>
      <c r="Q40" s="7" t="s">
        <v>299</v>
      </c>
    </row>
    <row r="41" customFormat="false" ht="23.25" hidden="false" customHeight="true" outlineLevel="0" collapsed="false">
      <c r="A41" s="6" t="s">
        <v>300</v>
      </c>
      <c r="B41" s="6" t="s">
        <v>301</v>
      </c>
      <c r="C41" s="6" t="s">
        <v>256</v>
      </c>
      <c r="D41" s="6" t="s">
        <v>32</v>
      </c>
      <c r="E41" s="6" t="s">
        <v>51</v>
      </c>
      <c r="F41" s="6" t="s">
        <v>302</v>
      </c>
      <c r="G41" s="6" t="s">
        <v>303</v>
      </c>
      <c r="H41" s="6"/>
      <c r="I41" s="6"/>
      <c r="J41" s="6"/>
      <c r="K41" s="6" t="s">
        <v>37</v>
      </c>
      <c r="L41" s="6"/>
      <c r="M41" s="7"/>
      <c r="N41" s="6"/>
      <c r="O41" s="6" t="s">
        <v>261</v>
      </c>
      <c r="P41" s="6" t="s">
        <v>39</v>
      </c>
      <c r="Q41" s="7" t="s">
        <v>304</v>
      </c>
    </row>
    <row r="42" customFormat="false" ht="15" hidden="false" customHeight="true" outlineLevel="0" collapsed="false">
      <c r="A42" s="6" t="s">
        <v>305</v>
      </c>
      <c r="B42" s="6" t="s">
        <v>306</v>
      </c>
      <c r="C42" s="6" t="s">
        <v>256</v>
      </c>
      <c r="D42" s="6" t="s">
        <v>32</v>
      </c>
      <c r="E42" s="6" t="s">
        <v>51</v>
      </c>
      <c r="F42" s="6" t="s">
        <v>307</v>
      </c>
      <c r="G42" s="6" t="s">
        <v>308</v>
      </c>
      <c r="H42" s="6" t="s">
        <v>309</v>
      </c>
      <c r="I42" s="6"/>
      <c r="J42" s="6"/>
      <c r="K42" s="6" t="s">
        <v>37</v>
      </c>
      <c r="L42" s="6"/>
      <c r="M42" s="7"/>
      <c r="N42" s="6"/>
      <c r="O42" s="6" t="s">
        <v>261</v>
      </c>
      <c r="P42" s="6" t="s">
        <v>39</v>
      </c>
      <c r="Q42" s="7" t="s">
        <v>274</v>
      </c>
    </row>
    <row r="43" customFormat="false" ht="15" hidden="false" customHeight="true" outlineLevel="0" collapsed="false">
      <c r="A43" s="6" t="s">
        <v>310</v>
      </c>
      <c r="B43" s="6" t="s">
        <v>311</v>
      </c>
      <c r="C43" s="6" t="s">
        <v>256</v>
      </c>
      <c r="D43" s="6" t="s">
        <v>32</v>
      </c>
      <c r="E43" s="6" t="s">
        <v>51</v>
      </c>
      <c r="F43" s="6" t="s">
        <v>312</v>
      </c>
      <c r="G43" s="6" t="s">
        <v>313</v>
      </c>
      <c r="H43" s="6" t="s">
        <v>314</v>
      </c>
      <c r="I43" s="6" t="s">
        <v>315</v>
      </c>
      <c r="J43" s="6" t="s">
        <v>48</v>
      </c>
      <c r="K43" s="6" t="s">
        <v>37</v>
      </c>
      <c r="L43" s="6"/>
      <c r="M43" s="7"/>
      <c r="N43" s="6"/>
      <c r="O43" s="6" t="s">
        <v>261</v>
      </c>
      <c r="P43" s="6" t="s">
        <v>39</v>
      </c>
      <c r="Q43" s="7" t="s">
        <v>262</v>
      </c>
    </row>
    <row r="44" customFormat="false" ht="15" hidden="false" customHeight="true" outlineLevel="0" collapsed="false">
      <c r="A44" s="6" t="s">
        <v>316</v>
      </c>
      <c r="B44" s="6" t="s">
        <v>317</v>
      </c>
      <c r="C44" s="6" t="s">
        <v>256</v>
      </c>
      <c r="D44" s="6" t="s">
        <v>32</v>
      </c>
      <c r="E44" s="6" t="s">
        <v>51</v>
      </c>
      <c r="F44" s="6" t="s">
        <v>318</v>
      </c>
      <c r="G44" s="6" t="s">
        <v>319</v>
      </c>
      <c r="H44" s="6" t="s">
        <v>320</v>
      </c>
      <c r="I44" s="6"/>
      <c r="J44" s="6"/>
      <c r="K44" s="6" t="s">
        <v>37</v>
      </c>
      <c r="L44" s="6"/>
      <c r="M44" s="7"/>
      <c r="N44" s="6"/>
      <c r="O44" s="6" t="s">
        <v>261</v>
      </c>
      <c r="P44" s="6" t="s">
        <v>39</v>
      </c>
      <c r="Q44" s="7" t="s">
        <v>262</v>
      </c>
    </row>
    <row r="45" customFormat="false" ht="15" hidden="false" customHeight="true" outlineLevel="0" collapsed="false">
      <c r="A45" s="6" t="s">
        <v>321</v>
      </c>
      <c r="B45" s="6" t="s">
        <v>322</v>
      </c>
      <c r="C45" s="6" t="s">
        <v>256</v>
      </c>
      <c r="D45" s="6" t="s">
        <v>32</v>
      </c>
      <c r="E45" s="6" t="s">
        <v>265</v>
      </c>
      <c r="F45" s="6" t="s">
        <v>323</v>
      </c>
      <c r="G45" s="6" t="s">
        <v>324</v>
      </c>
      <c r="H45" s="6"/>
      <c r="I45" s="6"/>
      <c r="J45" s="6"/>
      <c r="K45" s="6" t="s">
        <v>37</v>
      </c>
      <c r="L45" s="6"/>
      <c r="M45" s="7"/>
      <c r="N45" s="6"/>
      <c r="O45" s="6" t="s">
        <v>261</v>
      </c>
      <c r="P45" s="6" t="s">
        <v>39</v>
      </c>
      <c r="Q45" s="7" t="s">
        <v>274</v>
      </c>
    </row>
    <row r="46" customFormat="false" ht="15" hidden="false" customHeight="true" outlineLevel="0" collapsed="false">
      <c r="A46" s="6" t="s">
        <v>325</v>
      </c>
      <c r="B46" s="6" t="s">
        <v>326</v>
      </c>
      <c r="C46" s="6" t="s">
        <v>256</v>
      </c>
      <c r="D46" s="6" t="s">
        <v>32</v>
      </c>
      <c r="E46" s="6" t="s">
        <v>265</v>
      </c>
      <c r="F46" s="6" t="s">
        <v>327</v>
      </c>
      <c r="G46" s="6" t="s">
        <v>328</v>
      </c>
      <c r="H46" s="6"/>
      <c r="I46" s="6"/>
      <c r="J46" s="6"/>
      <c r="K46" s="6" t="s">
        <v>37</v>
      </c>
      <c r="L46" s="6"/>
      <c r="M46" s="7"/>
      <c r="N46" s="6"/>
      <c r="O46" s="6" t="s">
        <v>261</v>
      </c>
      <c r="P46" s="6" t="s">
        <v>39</v>
      </c>
      <c r="Q46" s="7" t="s">
        <v>262</v>
      </c>
    </row>
    <row r="47" customFormat="false" ht="15" hidden="false" customHeight="true" outlineLevel="0" collapsed="false">
      <c r="A47" s="6" t="s">
        <v>329</v>
      </c>
      <c r="B47" s="6" t="s">
        <v>330</v>
      </c>
      <c r="C47" s="6" t="s">
        <v>256</v>
      </c>
      <c r="D47" s="6" t="s">
        <v>32</v>
      </c>
      <c r="E47" s="6" t="s">
        <v>51</v>
      </c>
      <c r="F47" s="6" t="s">
        <v>331</v>
      </c>
      <c r="G47" s="6" t="s">
        <v>332</v>
      </c>
      <c r="H47" s="6"/>
      <c r="I47" s="6"/>
      <c r="J47" s="6"/>
      <c r="K47" s="6" t="s">
        <v>37</v>
      </c>
      <c r="L47" s="6"/>
      <c r="M47" s="7"/>
      <c r="N47" s="6"/>
      <c r="O47" s="6" t="s">
        <v>261</v>
      </c>
      <c r="P47" s="6" t="s">
        <v>39</v>
      </c>
      <c r="Q47" s="7" t="s">
        <v>262</v>
      </c>
    </row>
    <row r="48" customFormat="false" ht="15" hidden="false" customHeight="true" outlineLevel="0" collapsed="false">
      <c r="A48" s="6" t="s">
        <v>333</v>
      </c>
      <c r="B48" s="6" t="s">
        <v>334</v>
      </c>
      <c r="C48" s="6" t="s">
        <v>256</v>
      </c>
      <c r="D48" s="6" t="s">
        <v>32</v>
      </c>
      <c r="E48" s="6" t="s">
        <v>51</v>
      </c>
      <c r="F48" s="6" t="s">
        <v>335</v>
      </c>
      <c r="G48" s="6" t="s">
        <v>336</v>
      </c>
      <c r="H48" s="6" t="s">
        <v>337</v>
      </c>
      <c r="I48" s="6"/>
      <c r="J48" s="6"/>
      <c r="K48" s="6" t="s">
        <v>37</v>
      </c>
      <c r="L48" s="6"/>
      <c r="M48" s="7"/>
      <c r="N48" s="6"/>
      <c r="O48" s="6" t="s">
        <v>261</v>
      </c>
      <c r="P48" s="6" t="s">
        <v>39</v>
      </c>
      <c r="Q48" s="7" t="s">
        <v>274</v>
      </c>
    </row>
    <row r="49" customFormat="false" ht="15" hidden="false" customHeight="true" outlineLevel="0" collapsed="false">
      <c r="A49" s="6" t="s">
        <v>338</v>
      </c>
      <c r="B49" s="6" t="s">
        <v>339</v>
      </c>
      <c r="C49" s="6" t="s">
        <v>256</v>
      </c>
      <c r="D49" s="6" t="s">
        <v>32</v>
      </c>
      <c r="E49" s="6" t="s">
        <v>51</v>
      </c>
      <c r="F49" s="6" t="s">
        <v>340</v>
      </c>
      <c r="G49" s="6" t="s">
        <v>341</v>
      </c>
      <c r="H49" s="6" t="s">
        <v>342</v>
      </c>
      <c r="I49" s="6"/>
      <c r="J49" s="6"/>
      <c r="K49" s="6" t="s">
        <v>37</v>
      </c>
      <c r="L49" s="6"/>
      <c r="M49" s="7"/>
      <c r="N49" s="6"/>
      <c r="O49" s="6" t="s">
        <v>261</v>
      </c>
      <c r="P49" s="6" t="s">
        <v>39</v>
      </c>
      <c r="Q49" s="7" t="s">
        <v>274</v>
      </c>
    </row>
    <row r="50" customFormat="false" ht="15" hidden="false" customHeight="true" outlineLevel="0" collapsed="false">
      <c r="A50" s="6" t="s">
        <v>343</v>
      </c>
      <c r="B50" s="6" t="s">
        <v>344</v>
      </c>
      <c r="C50" s="6" t="s">
        <v>256</v>
      </c>
      <c r="D50" s="6" t="s">
        <v>32</v>
      </c>
      <c r="E50" s="6" t="s">
        <v>51</v>
      </c>
      <c r="F50" s="6" t="s">
        <v>345</v>
      </c>
      <c r="G50" s="6" t="s">
        <v>346</v>
      </c>
      <c r="H50" s="6"/>
      <c r="I50" s="6"/>
      <c r="J50" s="6"/>
      <c r="K50" s="6" t="s">
        <v>37</v>
      </c>
      <c r="L50" s="6"/>
      <c r="M50" s="7"/>
      <c r="N50" s="6"/>
      <c r="O50" s="6" t="s">
        <v>261</v>
      </c>
      <c r="P50" s="6" t="s">
        <v>39</v>
      </c>
      <c r="Q50" s="7" t="s">
        <v>262</v>
      </c>
    </row>
    <row r="51" customFormat="false" ht="15" hidden="false" customHeight="true" outlineLevel="0" collapsed="false">
      <c r="A51" s="6" t="s">
        <v>347</v>
      </c>
      <c r="B51" s="6" t="s">
        <v>348</v>
      </c>
      <c r="C51" s="6" t="s">
        <v>256</v>
      </c>
      <c r="D51" s="6" t="s">
        <v>32</v>
      </c>
      <c r="E51" s="6" t="s">
        <v>349</v>
      </c>
      <c r="F51" s="6" t="s">
        <v>350</v>
      </c>
      <c r="G51" s="6" t="s">
        <v>351</v>
      </c>
      <c r="H51" s="6" t="s">
        <v>352</v>
      </c>
      <c r="I51" s="6"/>
      <c r="J51" s="6"/>
      <c r="K51" s="6" t="s">
        <v>37</v>
      </c>
      <c r="L51" s="6"/>
      <c r="M51" s="7"/>
      <c r="N51" s="6"/>
      <c r="O51" s="6" t="s">
        <v>261</v>
      </c>
      <c r="P51" s="6" t="s">
        <v>39</v>
      </c>
      <c r="Q51" s="7" t="s">
        <v>262</v>
      </c>
    </row>
    <row r="52" customFormat="false" ht="23.25" hidden="false" customHeight="true" outlineLevel="0" collapsed="false">
      <c r="A52" s="6" t="s">
        <v>353</v>
      </c>
      <c r="B52" s="6" t="s">
        <v>354</v>
      </c>
      <c r="C52" s="6" t="s">
        <v>256</v>
      </c>
      <c r="D52" s="6" t="s">
        <v>32</v>
      </c>
      <c r="E52" s="6" t="s">
        <v>51</v>
      </c>
      <c r="F52" s="6" t="s">
        <v>355</v>
      </c>
      <c r="G52" s="6" t="s">
        <v>356</v>
      </c>
      <c r="H52" s="6" t="s">
        <v>357</v>
      </c>
      <c r="I52" s="6"/>
      <c r="J52" s="6"/>
      <c r="K52" s="6" t="s">
        <v>37</v>
      </c>
      <c r="L52" s="6"/>
      <c r="M52" s="7"/>
      <c r="N52" s="6"/>
      <c r="O52" s="6" t="s">
        <v>261</v>
      </c>
      <c r="P52" s="6" t="s">
        <v>39</v>
      </c>
      <c r="Q52" s="7" t="s">
        <v>358</v>
      </c>
    </row>
    <row r="53" customFormat="false" ht="15" hidden="false" customHeight="true" outlineLevel="0" collapsed="false">
      <c r="A53" s="6" t="s">
        <v>359</v>
      </c>
      <c r="B53" s="6" t="s">
        <v>360</v>
      </c>
      <c r="C53" s="6" t="s">
        <v>256</v>
      </c>
      <c r="D53" s="6" t="s">
        <v>32</v>
      </c>
      <c r="E53" s="6" t="s">
        <v>361</v>
      </c>
      <c r="F53" s="6" t="s">
        <v>362</v>
      </c>
      <c r="G53" s="6" t="s">
        <v>363</v>
      </c>
      <c r="H53" s="6" t="s">
        <v>364</v>
      </c>
      <c r="I53" s="6"/>
      <c r="J53" s="6"/>
      <c r="K53" s="6" t="s">
        <v>37</v>
      </c>
      <c r="L53" s="6"/>
      <c r="M53" s="7"/>
      <c r="N53" s="6"/>
      <c r="O53" s="6" t="s">
        <v>261</v>
      </c>
      <c r="P53" s="6" t="s">
        <v>39</v>
      </c>
      <c r="Q53" s="7" t="s">
        <v>262</v>
      </c>
    </row>
    <row r="54" customFormat="false" ht="15" hidden="false" customHeight="true" outlineLevel="0" collapsed="false">
      <c r="A54" s="6" t="s">
        <v>365</v>
      </c>
      <c r="B54" s="6" t="s">
        <v>366</v>
      </c>
      <c r="C54" s="6" t="s">
        <v>256</v>
      </c>
      <c r="D54" s="6" t="s">
        <v>32</v>
      </c>
      <c r="E54" s="6" t="s">
        <v>51</v>
      </c>
      <c r="F54" s="6" t="s">
        <v>367</v>
      </c>
      <c r="G54" s="6" t="s">
        <v>368</v>
      </c>
      <c r="H54" s="6"/>
      <c r="I54" s="6"/>
      <c r="J54" s="6"/>
      <c r="K54" s="6" t="s">
        <v>37</v>
      </c>
      <c r="L54" s="6"/>
      <c r="M54" s="7"/>
      <c r="N54" s="6"/>
      <c r="O54" s="6" t="s">
        <v>261</v>
      </c>
      <c r="P54" s="6" t="s">
        <v>39</v>
      </c>
      <c r="Q54" s="7" t="s">
        <v>262</v>
      </c>
    </row>
    <row r="55" customFormat="false" ht="23.25" hidden="false" customHeight="true" outlineLevel="0" collapsed="false">
      <c r="A55" s="6" t="s">
        <v>369</v>
      </c>
      <c r="B55" s="6" t="s">
        <v>370</v>
      </c>
      <c r="C55" s="6" t="s">
        <v>256</v>
      </c>
      <c r="D55" s="6" t="s">
        <v>32</v>
      </c>
      <c r="E55" s="6" t="s">
        <v>51</v>
      </c>
      <c r="F55" s="6" t="s">
        <v>371</v>
      </c>
      <c r="G55" s="6" t="s">
        <v>372</v>
      </c>
      <c r="H55" s="6"/>
      <c r="I55" s="6"/>
      <c r="J55" s="6"/>
      <c r="K55" s="6" t="s">
        <v>37</v>
      </c>
      <c r="L55" s="6"/>
      <c r="M55" s="7"/>
      <c r="N55" s="6"/>
      <c r="O55" s="6" t="s">
        <v>261</v>
      </c>
      <c r="P55" s="6" t="s">
        <v>39</v>
      </c>
      <c r="Q55" s="7" t="s">
        <v>373</v>
      </c>
    </row>
    <row r="56" customFormat="false" ht="23.25" hidden="false" customHeight="true" outlineLevel="0" collapsed="false">
      <c r="A56" s="6" t="s">
        <v>374</v>
      </c>
      <c r="B56" s="6" t="s">
        <v>375</v>
      </c>
      <c r="C56" s="6" t="s">
        <v>256</v>
      </c>
      <c r="D56" s="6" t="s">
        <v>32</v>
      </c>
      <c r="E56" s="6" t="s">
        <v>376</v>
      </c>
      <c r="F56" s="6" t="s">
        <v>377</v>
      </c>
      <c r="G56" s="6" t="s">
        <v>378</v>
      </c>
      <c r="H56" s="6"/>
      <c r="I56" s="6"/>
      <c r="J56" s="6"/>
      <c r="K56" s="6" t="s">
        <v>37</v>
      </c>
      <c r="L56" s="6"/>
      <c r="M56" s="7"/>
      <c r="N56" s="6"/>
      <c r="O56" s="6" t="s">
        <v>261</v>
      </c>
      <c r="P56" s="6" t="s">
        <v>39</v>
      </c>
      <c r="Q56" s="7" t="s">
        <v>358</v>
      </c>
    </row>
    <row r="57" customFormat="false" ht="23.25" hidden="false" customHeight="true" outlineLevel="0" collapsed="false">
      <c r="A57" s="6" t="s">
        <v>379</v>
      </c>
      <c r="B57" s="6" t="s">
        <v>380</v>
      </c>
      <c r="C57" s="6" t="s">
        <v>256</v>
      </c>
      <c r="D57" s="6" t="s">
        <v>32</v>
      </c>
      <c r="E57" s="6" t="s">
        <v>51</v>
      </c>
      <c r="F57" s="6" t="s">
        <v>381</v>
      </c>
      <c r="G57" s="6" t="s">
        <v>382</v>
      </c>
      <c r="H57" s="6"/>
      <c r="I57" s="6"/>
      <c r="J57" s="6"/>
      <c r="K57" s="6" t="s">
        <v>37</v>
      </c>
      <c r="L57" s="6"/>
      <c r="M57" s="7"/>
      <c r="N57" s="6"/>
      <c r="O57" s="6" t="s">
        <v>261</v>
      </c>
      <c r="P57" s="6" t="s">
        <v>39</v>
      </c>
      <c r="Q57" s="7" t="s">
        <v>358</v>
      </c>
    </row>
    <row r="58" customFormat="false" ht="23.25" hidden="false" customHeight="true" outlineLevel="0" collapsed="false">
      <c r="A58" s="6" t="s">
        <v>383</v>
      </c>
      <c r="B58" s="6" t="s">
        <v>384</v>
      </c>
      <c r="C58" s="6" t="s">
        <v>385</v>
      </c>
      <c r="D58" s="6" t="s">
        <v>386</v>
      </c>
      <c r="E58" s="6" t="s">
        <v>387</v>
      </c>
      <c r="F58" s="6" t="s">
        <v>388</v>
      </c>
      <c r="G58" s="6" t="s">
        <v>389</v>
      </c>
      <c r="H58" s="6" t="s">
        <v>390</v>
      </c>
      <c r="I58" s="6" t="s">
        <v>391</v>
      </c>
      <c r="J58" s="6" t="s">
        <v>104</v>
      </c>
      <c r="K58" s="6" t="s">
        <v>37</v>
      </c>
      <c r="L58" s="6"/>
      <c r="M58" s="7"/>
      <c r="N58" s="6"/>
      <c r="O58" s="6" t="s">
        <v>392</v>
      </c>
      <c r="P58" s="6" t="s">
        <v>39</v>
      </c>
      <c r="Q58" s="7" t="s">
        <v>393</v>
      </c>
    </row>
    <row r="59" customFormat="false" ht="57" hidden="false" customHeight="true" outlineLevel="0" collapsed="false">
      <c r="A59" s="6" t="s">
        <v>394</v>
      </c>
      <c r="B59" s="6" t="s">
        <v>395</v>
      </c>
      <c r="C59" s="6" t="s">
        <v>136</v>
      </c>
      <c r="D59" s="6" t="s">
        <v>396</v>
      </c>
      <c r="E59" s="6" t="s">
        <v>397</v>
      </c>
      <c r="F59" s="6" t="s">
        <v>398</v>
      </c>
      <c r="G59" s="6" t="s">
        <v>399</v>
      </c>
      <c r="H59" s="6" t="s">
        <v>400</v>
      </c>
      <c r="I59" s="6" t="s">
        <v>401</v>
      </c>
      <c r="J59" s="6" t="s">
        <v>104</v>
      </c>
      <c r="K59" s="6" t="s">
        <v>65</v>
      </c>
      <c r="L59" s="6" t="s">
        <v>168</v>
      </c>
      <c r="M59" s="7" t="s">
        <v>169</v>
      </c>
      <c r="N59" s="6" t="s">
        <v>170</v>
      </c>
      <c r="O59" s="6" t="s">
        <v>392</v>
      </c>
      <c r="P59" s="6" t="s">
        <v>39</v>
      </c>
      <c r="Q59" s="7"/>
    </row>
    <row r="60" customFormat="false" ht="57" hidden="false" customHeight="true" outlineLevel="0" collapsed="false">
      <c r="A60" s="6" t="s">
        <v>402</v>
      </c>
      <c r="B60" s="6" t="s">
        <v>403</v>
      </c>
      <c r="C60" s="6" t="s">
        <v>136</v>
      </c>
      <c r="D60" s="6" t="s">
        <v>396</v>
      </c>
      <c r="E60" s="6" t="s">
        <v>397</v>
      </c>
      <c r="F60" s="6" t="s">
        <v>404</v>
      </c>
      <c r="G60" s="6" t="s">
        <v>405</v>
      </c>
      <c r="H60" s="6" t="s">
        <v>406</v>
      </c>
      <c r="I60" s="6" t="s">
        <v>407</v>
      </c>
      <c r="J60" s="6" t="s">
        <v>104</v>
      </c>
      <c r="K60" s="6" t="s">
        <v>65</v>
      </c>
      <c r="L60" s="6" t="s">
        <v>168</v>
      </c>
      <c r="M60" s="7" t="s">
        <v>169</v>
      </c>
      <c r="N60" s="6" t="s">
        <v>170</v>
      </c>
      <c r="O60" s="6" t="s">
        <v>392</v>
      </c>
      <c r="P60" s="6" t="s">
        <v>39</v>
      </c>
      <c r="Q60" s="7"/>
    </row>
    <row r="61" customFormat="false" ht="57" hidden="false" customHeight="true" outlineLevel="0" collapsed="false">
      <c r="A61" s="6" t="s">
        <v>408</v>
      </c>
      <c r="B61" s="6" t="s">
        <v>409</v>
      </c>
      <c r="C61" s="6" t="s">
        <v>31</v>
      </c>
      <c r="D61" s="6" t="s">
        <v>396</v>
      </c>
      <c r="E61" s="6" t="s">
        <v>397</v>
      </c>
      <c r="F61" s="6" t="s">
        <v>410</v>
      </c>
      <c r="G61" s="6" t="s">
        <v>411</v>
      </c>
      <c r="H61" s="6" t="s">
        <v>412</v>
      </c>
      <c r="I61" s="6" t="s">
        <v>413</v>
      </c>
      <c r="J61" s="6" t="s">
        <v>104</v>
      </c>
      <c r="K61" s="6" t="s">
        <v>65</v>
      </c>
      <c r="L61" s="6" t="s">
        <v>168</v>
      </c>
      <c r="M61" s="7" t="s">
        <v>169</v>
      </c>
      <c r="N61" s="6" t="s">
        <v>170</v>
      </c>
      <c r="O61" s="6" t="s">
        <v>392</v>
      </c>
      <c r="P61" s="6" t="s">
        <v>39</v>
      </c>
      <c r="Q61" s="7" t="s">
        <v>414</v>
      </c>
    </row>
    <row r="62" customFormat="false" ht="15" hidden="false" customHeight="true" outlineLevel="0" collapsed="false">
      <c r="A62" s="6" t="s">
        <v>415</v>
      </c>
      <c r="B62" s="6" t="s">
        <v>416</v>
      </c>
      <c r="C62" s="6" t="s">
        <v>136</v>
      </c>
      <c r="D62" s="6" t="s">
        <v>396</v>
      </c>
      <c r="E62" s="6" t="s">
        <v>397</v>
      </c>
      <c r="F62" s="6" t="s">
        <v>417</v>
      </c>
      <c r="G62" s="6" t="s">
        <v>418</v>
      </c>
      <c r="H62" s="6" t="s">
        <v>419</v>
      </c>
      <c r="I62" s="6" t="s">
        <v>420</v>
      </c>
      <c r="J62" s="6" t="s">
        <v>167</v>
      </c>
      <c r="K62" s="6" t="s">
        <v>55</v>
      </c>
      <c r="L62" s="6" t="s">
        <v>168</v>
      </c>
      <c r="M62" s="7"/>
      <c r="N62" s="6" t="s">
        <v>421</v>
      </c>
      <c r="O62" s="6" t="s">
        <v>392</v>
      </c>
      <c r="P62" s="6" t="s">
        <v>39</v>
      </c>
      <c r="Q62" s="7"/>
    </row>
    <row r="63" customFormat="false" ht="15" hidden="false" customHeight="true" outlineLevel="0" collapsed="false">
      <c r="A63" s="6" t="s">
        <v>422</v>
      </c>
      <c r="B63" s="6" t="s">
        <v>423</v>
      </c>
      <c r="C63" s="6" t="s">
        <v>31</v>
      </c>
      <c r="D63" s="6" t="s">
        <v>424</v>
      </c>
      <c r="E63" s="6" t="s">
        <v>425</v>
      </c>
      <c r="F63" s="6" t="s">
        <v>426</v>
      </c>
      <c r="G63" s="6" t="s">
        <v>427</v>
      </c>
      <c r="H63" s="6" t="s">
        <v>428</v>
      </c>
      <c r="I63" s="6" t="s">
        <v>429</v>
      </c>
      <c r="J63" s="6" t="s">
        <v>104</v>
      </c>
      <c r="K63" s="6" t="s">
        <v>37</v>
      </c>
      <c r="L63" s="6"/>
      <c r="M63" s="7"/>
      <c r="N63" s="6"/>
      <c r="O63" s="6" t="s">
        <v>392</v>
      </c>
      <c r="P63" s="6" t="s">
        <v>39</v>
      </c>
      <c r="Q63" s="7"/>
    </row>
    <row r="64" customFormat="false" ht="45.75" hidden="false" customHeight="true" outlineLevel="0" collapsed="false">
      <c r="A64" s="6" t="s">
        <v>430</v>
      </c>
      <c r="B64" s="6" t="s">
        <v>431</v>
      </c>
      <c r="C64" s="6" t="s">
        <v>136</v>
      </c>
      <c r="D64" s="6" t="s">
        <v>432</v>
      </c>
      <c r="E64" s="6" t="s">
        <v>433</v>
      </c>
      <c r="F64" s="6" t="s">
        <v>434</v>
      </c>
      <c r="G64" s="6" t="s">
        <v>435</v>
      </c>
      <c r="H64" s="6" t="s">
        <v>436</v>
      </c>
      <c r="I64" s="6" t="s">
        <v>437</v>
      </c>
      <c r="J64" s="6" t="s">
        <v>167</v>
      </c>
      <c r="K64" s="6" t="s">
        <v>37</v>
      </c>
      <c r="L64" s="6"/>
      <c r="M64" s="7" t="s">
        <v>438</v>
      </c>
      <c r="N64" s="6"/>
      <c r="O64" s="6" t="s">
        <v>392</v>
      </c>
      <c r="P64" s="6" t="s">
        <v>39</v>
      </c>
      <c r="Q64" s="7"/>
    </row>
    <row r="65" customFormat="false" ht="15" hidden="false" customHeight="true" outlineLevel="0" collapsed="false">
      <c r="A65" s="6" t="s">
        <v>439</v>
      </c>
      <c r="B65" s="6" t="s">
        <v>440</v>
      </c>
      <c r="C65" s="6" t="s">
        <v>136</v>
      </c>
      <c r="D65" s="6" t="s">
        <v>432</v>
      </c>
      <c r="E65" s="6" t="s">
        <v>433</v>
      </c>
      <c r="F65" s="6" t="s">
        <v>441</v>
      </c>
      <c r="G65" s="6" t="s">
        <v>442</v>
      </c>
      <c r="H65" s="6" t="s">
        <v>443</v>
      </c>
      <c r="I65" s="6" t="s">
        <v>444</v>
      </c>
      <c r="J65" s="6" t="s">
        <v>104</v>
      </c>
      <c r="K65" s="6" t="s">
        <v>37</v>
      </c>
      <c r="L65" s="6"/>
      <c r="M65" s="7" t="s">
        <v>445</v>
      </c>
      <c r="N65" s="6"/>
      <c r="O65" s="6" t="s">
        <v>392</v>
      </c>
      <c r="P65" s="6" t="s">
        <v>39</v>
      </c>
      <c r="Q65" s="7"/>
    </row>
    <row r="66" customFormat="false" ht="15" hidden="false" customHeight="true" outlineLevel="0" collapsed="false">
      <c r="A66" s="6" t="s">
        <v>446</v>
      </c>
      <c r="B66" s="6" t="s">
        <v>447</v>
      </c>
      <c r="C66" s="6" t="s">
        <v>136</v>
      </c>
      <c r="D66" s="6" t="s">
        <v>424</v>
      </c>
      <c r="E66" s="6" t="s">
        <v>425</v>
      </c>
      <c r="F66" s="6" t="s">
        <v>448</v>
      </c>
      <c r="G66" s="6" t="s">
        <v>449</v>
      </c>
      <c r="H66" s="6" t="s">
        <v>450</v>
      </c>
      <c r="I66" s="6" t="s">
        <v>451</v>
      </c>
      <c r="J66" s="6" t="s">
        <v>104</v>
      </c>
      <c r="K66" s="6" t="s">
        <v>37</v>
      </c>
      <c r="L66" s="6"/>
      <c r="M66" s="7"/>
      <c r="N66" s="6"/>
      <c r="O66" s="6" t="s">
        <v>392</v>
      </c>
      <c r="P66" s="6" t="s">
        <v>39</v>
      </c>
      <c r="Q66" s="7"/>
    </row>
    <row r="67" customFormat="false" ht="15" hidden="false" customHeight="true" outlineLevel="0" collapsed="false">
      <c r="A67" s="6" t="s">
        <v>452</v>
      </c>
      <c r="B67" s="6" t="s">
        <v>453</v>
      </c>
      <c r="C67" s="6" t="s">
        <v>136</v>
      </c>
      <c r="D67" s="6" t="s">
        <v>454</v>
      </c>
      <c r="E67" s="6" t="s">
        <v>455</v>
      </c>
      <c r="F67" s="6" t="s">
        <v>456</v>
      </c>
      <c r="G67" s="6" t="s">
        <v>457</v>
      </c>
      <c r="H67" s="6" t="s">
        <v>456</v>
      </c>
      <c r="I67" s="6"/>
      <c r="J67" s="6"/>
      <c r="K67" s="6" t="s">
        <v>37</v>
      </c>
      <c r="L67" s="6"/>
      <c r="M67" s="7"/>
      <c r="N67" s="6"/>
      <c r="O67" s="6" t="s">
        <v>392</v>
      </c>
      <c r="P67" s="6" t="s">
        <v>39</v>
      </c>
      <c r="Q67" s="7"/>
    </row>
    <row r="68" customFormat="false" ht="57" hidden="false" customHeight="true" outlineLevel="0" collapsed="false">
      <c r="A68" s="6" t="s">
        <v>458</v>
      </c>
      <c r="B68" s="6" t="s">
        <v>459</v>
      </c>
      <c r="C68" s="6" t="s">
        <v>31</v>
      </c>
      <c r="D68" s="6" t="s">
        <v>396</v>
      </c>
      <c r="E68" s="6" t="s">
        <v>397</v>
      </c>
      <c r="F68" s="6" t="s">
        <v>460</v>
      </c>
      <c r="G68" s="6" t="s">
        <v>461</v>
      </c>
      <c r="H68" s="6" t="s">
        <v>1970</v>
      </c>
      <c r="I68" s="6" t="s">
        <v>463</v>
      </c>
      <c r="J68" s="6" t="s">
        <v>104</v>
      </c>
      <c r="K68" s="6" t="s">
        <v>65</v>
      </c>
      <c r="L68" s="6" t="s">
        <v>168</v>
      </c>
      <c r="M68" s="7" t="s">
        <v>169</v>
      </c>
      <c r="N68" s="6" t="s">
        <v>170</v>
      </c>
      <c r="O68" s="6" t="s">
        <v>392</v>
      </c>
      <c r="P68" s="6" t="s">
        <v>1966</v>
      </c>
      <c r="Q68" s="7" t="s">
        <v>464</v>
      </c>
    </row>
    <row r="69" customFormat="false" ht="23.25" hidden="false" customHeight="true" outlineLevel="0" collapsed="false">
      <c r="A69" s="6" t="s">
        <v>465</v>
      </c>
      <c r="B69" s="6" t="s">
        <v>466</v>
      </c>
      <c r="C69" s="6" t="s">
        <v>136</v>
      </c>
      <c r="D69" s="6" t="s">
        <v>467</v>
      </c>
      <c r="E69" s="6" t="s">
        <v>468</v>
      </c>
      <c r="F69" s="6" t="s">
        <v>469</v>
      </c>
      <c r="G69" s="6" t="s">
        <v>470</v>
      </c>
      <c r="H69" s="6" t="s">
        <v>471</v>
      </c>
      <c r="I69" s="6" t="s">
        <v>472</v>
      </c>
      <c r="J69" s="6" t="s">
        <v>167</v>
      </c>
      <c r="K69" s="6" t="s">
        <v>37</v>
      </c>
      <c r="L69" s="6"/>
      <c r="M69" s="7"/>
      <c r="N69" s="6"/>
      <c r="O69" s="6" t="s">
        <v>392</v>
      </c>
      <c r="P69" s="6" t="s">
        <v>39</v>
      </c>
      <c r="Q69" s="7" t="s">
        <v>473</v>
      </c>
    </row>
    <row r="70" customFormat="false" ht="23.25" hidden="false" customHeight="true" outlineLevel="0" collapsed="false">
      <c r="A70" s="6" t="s">
        <v>474</v>
      </c>
      <c r="B70" s="6" t="s">
        <v>475</v>
      </c>
      <c r="C70" s="6" t="s">
        <v>136</v>
      </c>
      <c r="D70" s="6" t="s">
        <v>467</v>
      </c>
      <c r="E70" s="6" t="s">
        <v>468</v>
      </c>
      <c r="F70" s="6" t="s">
        <v>476</v>
      </c>
      <c r="G70" s="6" t="s">
        <v>477</v>
      </c>
      <c r="H70" s="6" t="s">
        <v>478</v>
      </c>
      <c r="I70" s="6" t="s">
        <v>479</v>
      </c>
      <c r="J70" s="6" t="s">
        <v>167</v>
      </c>
      <c r="K70" s="6" t="s">
        <v>37</v>
      </c>
      <c r="L70" s="6"/>
      <c r="M70" s="7"/>
      <c r="N70" s="6"/>
      <c r="O70" s="6" t="s">
        <v>392</v>
      </c>
      <c r="P70" s="6" t="s">
        <v>39</v>
      </c>
      <c r="Q70" s="7" t="s">
        <v>480</v>
      </c>
    </row>
    <row r="71" customFormat="false" ht="68.25" hidden="false" customHeight="true" outlineLevel="0" collapsed="false">
      <c r="A71" s="6" t="s">
        <v>481</v>
      </c>
      <c r="B71" s="6" t="s">
        <v>482</v>
      </c>
      <c r="C71" s="6" t="s">
        <v>483</v>
      </c>
      <c r="D71" s="6" t="s">
        <v>396</v>
      </c>
      <c r="E71" s="6" t="s">
        <v>397</v>
      </c>
      <c r="F71" s="6" t="s">
        <v>484</v>
      </c>
      <c r="G71" s="6" t="s">
        <v>485</v>
      </c>
      <c r="H71" s="6" t="s">
        <v>486</v>
      </c>
      <c r="I71" s="6" t="s">
        <v>487</v>
      </c>
      <c r="J71" s="6" t="s">
        <v>104</v>
      </c>
      <c r="K71" s="6" t="s">
        <v>65</v>
      </c>
      <c r="L71" s="6" t="s">
        <v>168</v>
      </c>
      <c r="M71" s="7" t="s">
        <v>488</v>
      </c>
      <c r="N71" s="6" t="s">
        <v>489</v>
      </c>
      <c r="O71" s="6" t="s">
        <v>392</v>
      </c>
      <c r="P71" s="6" t="s">
        <v>39</v>
      </c>
      <c r="Q71" s="7" t="s">
        <v>490</v>
      </c>
    </row>
    <row r="72" customFormat="false" ht="68.25" hidden="false" customHeight="true" outlineLevel="0" collapsed="false">
      <c r="A72" s="6" t="s">
        <v>491</v>
      </c>
      <c r="B72" s="6" t="s">
        <v>492</v>
      </c>
      <c r="C72" s="6" t="s">
        <v>483</v>
      </c>
      <c r="D72" s="6" t="s">
        <v>396</v>
      </c>
      <c r="E72" s="6" t="s">
        <v>397</v>
      </c>
      <c r="F72" s="6" t="s">
        <v>493</v>
      </c>
      <c r="G72" s="6" t="s">
        <v>494</v>
      </c>
      <c r="H72" s="6" t="s">
        <v>495</v>
      </c>
      <c r="I72" s="6" t="s">
        <v>496</v>
      </c>
      <c r="J72" s="6" t="s">
        <v>104</v>
      </c>
      <c r="K72" s="6" t="s">
        <v>65</v>
      </c>
      <c r="L72" s="6" t="s">
        <v>168</v>
      </c>
      <c r="M72" s="7" t="s">
        <v>488</v>
      </c>
      <c r="N72" s="6" t="s">
        <v>489</v>
      </c>
      <c r="O72" s="6" t="s">
        <v>392</v>
      </c>
      <c r="P72" s="6" t="s">
        <v>39</v>
      </c>
      <c r="Q72" s="7" t="s">
        <v>497</v>
      </c>
    </row>
    <row r="73" customFormat="false" ht="57" hidden="false" customHeight="true" outlineLevel="0" collapsed="false">
      <c r="A73" s="6" t="s">
        <v>498</v>
      </c>
      <c r="B73" s="6" t="s">
        <v>499</v>
      </c>
      <c r="C73" s="6" t="s">
        <v>483</v>
      </c>
      <c r="D73" s="6" t="s">
        <v>396</v>
      </c>
      <c r="E73" s="6" t="s">
        <v>397</v>
      </c>
      <c r="F73" s="6" t="s">
        <v>500</v>
      </c>
      <c r="G73" s="6" t="s">
        <v>501</v>
      </c>
      <c r="H73" s="6" t="s">
        <v>502</v>
      </c>
      <c r="I73" s="6" t="s">
        <v>503</v>
      </c>
      <c r="J73" s="6" t="s">
        <v>104</v>
      </c>
      <c r="K73" s="6" t="s">
        <v>65</v>
      </c>
      <c r="L73" s="6" t="s">
        <v>168</v>
      </c>
      <c r="M73" s="7" t="s">
        <v>169</v>
      </c>
      <c r="N73" s="6" t="s">
        <v>170</v>
      </c>
      <c r="O73" s="6" t="s">
        <v>392</v>
      </c>
      <c r="P73" s="6" t="s">
        <v>39</v>
      </c>
      <c r="Q73" s="7" t="s">
        <v>504</v>
      </c>
    </row>
    <row r="74" customFormat="false" ht="57" hidden="false" customHeight="true" outlineLevel="0" collapsed="false">
      <c r="A74" s="6" t="s">
        <v>505</v>
      </c>
      <c r="B74" s="6" t="s">
        <v>506</v>
      </c>
      <c r="C74" s="6" t="s">
        <v>483</v>
      </c>
      <c r="D74" s="6" t="s">
        <v>396</v>
      </c>
      <c r="E74" s="6" t="s">
        <v>397</v>
      </c>
      <c r="F74" s="6" t="s">
        <v>507</v>
      </c>
      <c r="G74" s="6" t="s">
        <v>508</v>
      </c>
      <c r="H74" s="6" t="s">
        <v>509</v>
      </c>
      <c r="I74" s="6" t="s">
        <v>510</v>
      </c>
      <c r="J74" s="6" t="s">
        <v>104</v>
      </c>
      <c r="K74" s="6" t="s">
        <v>65</v>
      </c>
      <c r="L74" s="6" t="s">
        <v>168</v>
      </c>
      <c r="M74" s="7" t="s">
        <v>169</v>
      </c>
      <c r="N74" s="6" t="s">
        <v>170</v>
      </c>
      <c r="O74" s="6" t="s">
        <v>392</v>
      </c>
      <c r="P74" s="6" t="s">
        <v>39</v>
      </c>
      <c r="Q74" s="7"/>
    </row>
    <row r="75" customFormat="false" ht="45.75" hidden="false" customHeight="true" outlineLevel="0" collapsed="false">
      <c r="A75" s="6" t="s">
        <v>511</v>
      </c>
      <c r="B75" s="6" t="s">
        <v>512</v>
      </c>
      <c r="C75" s="6" t="s">
        <v>31</v>
      </c>
      <c r="D75" s="6" t="s">
        <v>513</v>
      </c>
      <c r="E75" s="6" t="s">
        <v>514</v>
      </c>
      <c r="F75" s="6" t="s">
        <v>515</v>
      </c>
      <c r="G75" s="6" t="s">
        <v>516</v>
      </c>
      <c r="H75" s="6" t="s">
        <v>85</v>
      </c>
      <c r="I75" s="6" t="s">
        <v>86</v>
      </c>
      <c r="J75" s="6" t="s">
        <v>48</v>
      </c>
      <c r="K75" s="6" t="s">
        <v>37</v>
      </c>
      <c r="L75" s="6"/>
      <c r="M75" s="7"/>
      <c r="N75" s="6"/>
      <c r="O75" s="6" t="s">
        <v>392</v>
      </c>
      <c r="P75" s="6" t="s">
        <v>39</v>
      </c>
      <c r="Q75" s="7" t="s">
        <v>517</v>
      </c>
    </row>
    <row r="76" customFormat="false" ht="15" hidden="false" customHeight="true" outlineLevel="0" collapsed="false">
      <c r="A76" s="6" t="s">
        <v>518</v>
      </c>
      <c r="B76" s="6" t="s">
        <v>519</v>
      </c>
      <c r="C76" s="6" t="s">
        <v>31</v>
      </c>
      <c r="D76" s="6" t="s">
        <v>513</v>
      </c>
      <c r="E76" s="6" t="s">
        <v>520</v>
      </c>
      <c r="F76" s="6" t="s">
        <v>521</v>
      </c>
      <c r="G76" s="6" t="s">
        <v>522</v>
      </c>
      <c r="H76" s="6" t="s">
        <v>523</v>
      </c>
      <c r="I76" s="6" t="s">
        <v>524</v>
      </c>
      <c r="J76" s="6" t="s">
        <v>48</v>
      </c>
      <c r="K76" s="6" t="s">
        <v>37</v>
      </c>
      <c r="L76" s="6"/>
      <c r="M76" s="7"/>
      <c r="N76" s="6"/>
      <c r="O76" s="6" t="s">
        <v>392</v>
      </c>
      <c r="P76" s="6" t="s">
        <v>39</v>
      </c>
      <c r="Q76" s="7" t="s">
        <v>525</v>
      </c>
    </row>
    <row r="77" customFormat="false" ht="23.25" hidden="false" customHeight="true" outlineLevel="0" collapsed="false">
      <c r="A77" s="6" t="s">
        <v>526</v>
      </c>
      <c r="B77" s="6" t="s">
        <v>527</v>
      </c>
      <c r="C77" s="6" t="s">
        <v>483</v>
      </c>
      <c r="D77" s="6" t="s">
        <v>432</v>
      </c>
      <c r="E77" s="6" t="s">
        <v>528</v>
      </c>
      <c r="F77" s="6" t="s">
        <v>529</v>
      </c>
      <c r="G77" s="6" t="s">
        <v>530</v>
      </c>
      <c r="H77" s="6" t="s">
        <v>531</v>
      </c>
      <c r="I77" s="6" t="s">
        <v>532</v>
      </c>
      <c r="J77" s="6" t="s">
        <v>48</v>
      </c>
      <c r="K77" s="6" t="s">
        <v>37</v>
      </c>
      <c r="L77" s="6"/>
      <c r="M77" s="7"/>
      <c r="N77" s="6"/>
      <c r="O77" s="6" t="s">
        <v>392</v>
      </c>
      <c r="P77" s="6" t="s">
        <v>39</v>
      </c>
      <c r="Q77" s="7" t="s">
        <v>533</v>
      </c>
    </row>
    <row r="78" customFormat="false" ht="57" hidden="false" customHeight="true" outlineLevel="0" collapsed="false">
      <c r="A78" s="6" t="s">
        <v>534</v>
      </c>
      <c r="B78" s="6" t="s">
        <v>535</v>
      </c>
      <c r="C78" s="6" t="s">
        <v>136</v>
      </c>
      <c r="D78" s="6" t="s">
        <v>467</v>
      </c>
      <c r="E78" s="6" t="s">
        <v>536</v>
      </c>
      <c r="F78" s="6" t="s">
        <v>537</v>
      </c>
      <c r="G78" s="6" t="s">
        <v>538</v>
      </c>
      <c r="H78" s="6" t="s">
        <v>539</v>
      </c>
      <c r="I78" s="6" t="s">
        <v>540</v>
      </c>
      <c r="J78" s="6" t="s">
        <v>48</v>
      </c>
      <c r="K78" s="6" t="s">
        <v>37</v>
      </c>
      <c r="L78" s="6"/>
      <c r="M78" s="7"/>
      <c r="N78" s="6"/>
      <c r="O78" s="6" t="s">
        <v>392</v>
      </c>
      <c r="P78" s="6" t="s">
        <v>39</v>
      </c>
      <c r="Q78" s="7" t="s">
        <v>541</v>
      </c>
    </row>
    <row r="79" customFormat="false" ht="15" hidden="false" customHeight="true" outlineLevel="0" collapsed="false">
      <c r="A79" s="6" t="s">
        <v>542</v>
      </c>
      <c r="B79" s="6" t="s">
        <v>543</v>
      </c>
      <c r="C79" s="6" t="s">
        <v>31</v>
      </c>
      <c r="D79" s="6" t="s">
        <v>544</v>
      </c>
      <c r="E79" s="6" t="s">
        <v>545</v>
      </c>
      <c r="F79" s="6" t="s">
        <v>546</v>
      </c>
      <c r="G79" s="6" t="s">
        <v>547</v>
      </c>
      <c r="H79" s="6" t="s">
        <v>548</v>
      </c>
      <c r="I79" s="6" t="s">
        <v>549</v>
      </c>
      <c r="J79" s="6" t="s">
        <v>104</v>
      </c>
      <c r="K79" s="6" t="s">
        <v>37</v>
      </c>
      <c r="L79" s="6"/>
      <c r="M79" s="7" t="s">
        <v>550</v>
      </c>
      <c r="N79" s="6"/>
      <c r="O79" s="6" t="s">
        <v>392</v>
      </c>
      <c r="P79" s="6" t="s">
        <v>39</v>
      </c>
      <c r="Q79" s="7" t="s">
        <v>551</v>
      </c>
    </row>
    <row r="80" customFormat="false" ht="15" hidden="false" customHeight="true" outlineLevel="0" collapsed="false">
      <c r="A80" s="6" t="s">
        <v>552</v>
      </c>
      <c r="B80" s="6" t="s">
        <v>553</v>
      </c>
      <c r="C80" s="6" t="s">
        <v>31</v>
      </c>
      <c r="D80" s="6" t="s">
        <v>544</v>
      </c>
      <c r="E80" s="6" t="s">
        <v>545</v>
      </c>
      <c r="F80" s="6" t="s">
        <v>554</v>
      </c>
      <c r="G80" s="6" t="s">
        <v>555</v>
      </c>
      <c r="H80" s="6"/>
      <c r="I80" s="6"/>
      <c r="J80" s="6"/>
      <c r="K80" s="6" t="s">
        <v>37</v>
      </c>
      <c r="L80" s="6"/>
      <c r="M80" s="7"/>
      <c r="N80" s="6"/>
      <c r="O80" s="6" t="s">
        <v>392</v>
      </c>
      <c r="P80" s="6" t="s">
        <v>39</v>
      </c>
      <c r="Q80" s="7"/>
    </row>
    <row r="81" customFormat="false" ht="23.25" hidden="false" customHeight="true" outlineLevel="0" collapsed="false">
      <c r="A81" s="6" t="s">
        <v>556</v>
      </c>
      <c r="B81" s="6" t="s">
        <v>557</v>
      </c>
      <c r="C81" s="6" t="s">
        <v>385</v>
      </c>
      <c r="D81" s="6" t="s">
        <v>513</v>
      </c>
      <c r="E81" s="6" t="s">
        <v>558</v>
      </c>
      <c r="F81" s="6" t="s">
        <v>559</v>
      </c>
      <c r="G81" s="6" t="s">
        <v>389</v>
      </c>
      <c r="H81" s="6" t="s">
        <v>560</v>
      </c>
      <c r="I81" s="6"/>
      <c r="J81" s="6"/>
      <c r="K81" s="6" t="s">
        <v>37</v>
      </c>
      <c r="L81" s="6"/>
      <c r="M81" s="7"/>
      <c r="N81" s="6"/>
      <c r="O81" s="6" t="s">
        <v>392</v>
      </c>
      <c r="P81" s="6" t="s">
        <v>39</v>
      </c>
      <c r="Q81" s="7" t="s">
        <v>561</v>
      </c>
    </row>
    <row r="82" customFormat="false" ht="34.5" hidden="false" customHeight="true" outlineLevel="0" collapsed="false">
      <c r="A82" s="6" t="s">
        <v>562</v>
      </c>
      <c r="B82" s="6" t="s">
        <v>563</v>
      </c>
      <c r="C82" s="6" t="s">
        <v>385</v>
      </c>
      <c r="D82" s="6" t="s">
        <v>564</v>
      </c>
      <c r="E82" s="6" t="s">
        <v>565</v>
      </c>
      <c r="F82" s="6" t="s">
        <v>566</v>
      </c>
      <c r="G82" s="6" t="s">
        <v>389</v>
      </c>
      <c r="H82" s="6" t="s">
        <v>1968</v>
      </c>
      <c r="I82" s="6" t="s">
        <v>568</v>
      </c>
      <c r="J82" s="6" t="s">
        <v>48</v>
      </c>
      <c r="K82" s="6" t="s">
        <v>37</v>
      </c>
      <c r="L82" s="6"/>
      <c r="M82" s="7"/>
      <c r="N82" s="6"/>
      <c r="O82" s="6" t="s">
        <v>392</v>
      </c>
      <c r="P82" s="6" t="s">
        <v>1966</v>
      </c>
      <c r="Q82" s="7" t="s">
        <v>569</v>
      </c>
    </row>
    <row r="83" customFormat="false" ht="15" hidden="false" customHeight="true" outlineLevel="0" collapsed="false">
      <c r="A83" s="6" t="s">
        <v>570</v>
      </c>
      <c r="B83" s="6" t="s">
        <v>571</v>
      </c>
      <c r="C83" s="6" t="s">
        <v>31</v>
      </c>
      <c r="D83" s="6" t="s">
        <v>432</v>
      </c>
      <c r="E83" s="6" t="s">
        <v>433</v>
      </c>
      <c r="F83" s="6" t="s">
        <v>572</v>
      </c>
      <c r="G83" s="6" t="s">
        <v>573</v>
      </c>
      <c r="H83" s="6" t="s">
        <v>574</v>
      </c>
      <c r="I83" s="6" t="s">
        <v>575</v>
      </c>
      <c r="J83" s="6" t="s">
        <v>104</v>
      </c>
      <c r="K83" s="6" t="s">
        <v>37</v>
      </c>
      <c r="L83" s="6"/>
      <c r="M83" s="7"/>
      <c r="N83" s="6"/>
      <c r="O83" s="6" t="s">
        <v>392</v>
      </c>
      <c r="P83" s="6" t="s">
        <v>39</v>
      </c>
      <c r="Q83" s="7" t="s">
        <v>576</v>
      </c>
    </row>
    <row r="84" customFormat="false" ht="34.5" hidden="false" customHeight="true" outlineLevel="0" collapsed="false">
      <c r="A84" s="6" t="s">
        <v>577</v>
      </c>
      <c r="B84" s="6" t="s">
        <v>578</v>
      </c>
      <c r="C84" s="6" t="s">
        <v>483</v>
      </c>
      <c r="D84" s="6" t="s">
        <v>396</v>
      </c>
      <c r="E84" s="6" t="s">
        <v>579</v>
      </c>
      <c r="F84" s="6" t="s">
        <v>580</v>
      </c>
      <c r="G84" s="6" t="s">
        <v>581</v>
      </c>
      <c r="H84" s="6" t="s">
        <v>582</v>
      </c>
      <c r="I84" s="6" t="s">
        <v>583</v>
      </c>
      <c r="J84" s="6" t="s">
        <v>104</v>
      </c>
      <c r="K84" s="6" t="s">
        <v>37</v>
      </c>
      <c r="L84" s="6"/>
      <c r="M84" s="7"/>
      <c r="N84" s="6"/>
      <c r="O84" s="6" t="s">
        <v>392</v>
      </c>
      <c r="P84" s="6" t="s">
        <v>39</v>
      </c>
      <c r="Q84" s="7" t="s">
        <v>584</v>
      </c>
    </row>
    <row r="85" customFormat="false" ht="34.5" hidden="false" customHeight="true" outlineLevel="0" collapsed="false">
      <c r="A85" s="6" t="s">
        <v>585</v>
      </c>
      <c r="B85" s="6" t="s">
        <v>586</v>
      </c>
      <c r="C85" s="6" t="s">
        <v>31</v>
      </c>
      <c r="D85" s="6" t="s">
        <v>513</v>
      </c>
      <c r="E85" s="6" t="s">
        <v>587</v>
      </c>
      <c r="F85" s="6" t="s">
        <v>588</v>
      </c>
      <c r="G85" s="6" t="s">
        <v>589</v>
      </c>
      <c r="H85" s="6"/>
      <c r="I85" s="6"/>
      <c r="J85" s="6"/>
      <c r="K85" s="6" t="s">
        <v>37</v>
      </c>
      <c r="L85" s="6"/>
      <c r="M85" s="7"/>
      <c r="N85" s="6"/>
      <c r="O85" s="6" t="s">
        <v>392</v>
      </c>
      <c r="P85" s="6" t="s">
        <v>39</v>
      </c>
      <c r="Q85" s="7" t="s">
        <v>590</v>
      </c>
    </row>
    <row r="86" customFormat="false" ht="34.5" hidden="false" customHeight="true" outlineLevel="0" collapsed="false">
      <c r="A86" s="6" t="s">
        <v>591</v>
      </c>
      <c r="B86" s="6" t="s">
        <v>592</v>
      </c>
      <c r="C86" s="6" t="s">
        <v>136</v>
      </c>
      <c r="D86" s="6" t="s">
        <v>424</v>
      </c>
      <c r="E86" s="6" t="s">
        <v>593</v>
      </c>
      <c r="F86" s="6" t="s">
        <v>594</v>
      </c>
      <c r="G86" s="6" t="s">
        <v>251</v>
      </c>
      <c r="H86" s="6"/>
      <c r="I86" s="6" t="s">
        <v>595</v>
      </c>
      <c r="J86" s="6" t="s">
        <v>167</v>
      </c>
      <c r="K86" s="6" t="s">
        <v>37</v>
      </c>
      <c r="L86" s="6"/>
      <c r="M86" s="7"/>
      <c r="N86" s="6"/>
      <c r="O86" s="6" t="s">
        <v>392</v>
      </c>
      <c r="P86" s="6" t="s">
        <v>39</v>
      </c>
      <c r="Q86" s="7" t="s">
        <v>596</v>
      </c>
    </row>
    <row r="87" customFormat="false" ht="15" hidden="false" customHeight="true" outlineLevel="0" collapsed="false">
      <c r="A87" s="6" t="s">
        <v>597</v>
      </c>
      <c r="B87" s="6" t="s">
        <v>598</v>
      </c>
      <c r="C87" s="6" t="s">
        <v>136</v>
      </c>
      <c r="D87" s="6" t="s">
        <v>513</v>
      </c>
      <c r="E87" s="6" t="s">
        <v>599</v>
      </c>
      <c r="F87" s="6" t="s">
        <v>600</v>
      </c>
      <c r="G87" s="6" t="s">
        <v>601</v>
      </c>
      <c r="H87" s="6"/>
      <c r="I87" s="6" t="s">
        <v>602</v>
      </c>
      <c r="J87" s="6" t="s">
        <v>167</v>
      </c>
      <c r="K87" s="6" t="s">
        <v>37</v>
      </c>
      <c r="L87" s="6"/>
      <c r="M87" s="7"/>
      <c r="N87" s="6"/>
      <c r="O87" s="6" t="s">
        <v>392</v>
      </c>
      <c r="P87" s="6" t="s">
        <v>39</v>
      </c>
      <c r="Q87" s="7" t="s">
        <v>603</v>
      </c>
    </row>
    <row r="88" customFormat="false" ht="15" hidden="false" customHeight="true" outlineLevel="0" collapsed="false">
      <c r="A88" s="6" t="s">
        <v>604</v>
      </c>
      <c r="B88" s="6" t="s">
        <v>605</v>
      </c>
      <c r="C88" s="6" t="s">
        <v>136</v>
      </c>
      <c r="D88" s="6" t="s">
        <v>513</v>
      </c>
      <c r="E88" s="6" t="s">
        <v>599</v>
      </c>
      <c r="F88" s="6" t="s">
        <v>606</v>
      </c>
      <c r="G88" s="6" t="s">
        <v>607</v>
      </c>
      <c r="H88" s="6" t="s">
        <v>608</v>
      </c>
      <c r="I88" s="6"/>
      <c r="J88" s="6"/>
      <c r="K88" s="6" t="s">
        <v>37</v>
      </c>
      <c r="L88" s="6"/>
      <c r="M88" s="7"/>
      <c r="N88" s="6"/>
      <c r="O88" s="6" t="s">
        <v>392</v>
      </c>
      <c r="P88" s="6" t="s">
        <v>39</v>
      </c>
      <c r="Q88" s="7" t="s">
        <v>609</v>
      </c>
    </row>
    <row r="89" customFormat="false" ht="15" hidden="false" customHeight="true" outlineLevel="0" collapsed="false">
      <c r="A89" s="6" t="s">
        <v>610</v>
      </c>
      <c r="B89" s="6" t="s">
        <v>611</v>
      </c>
      <c r="C89" s="6" t="s">
        <v>136</v>
      </c>
      <c r="D89" s="6" t="s">
        <v>612</v>
      </c>
      <c r="E89" s="6" t="s">
        <v>613</v>
      </c>
      <c r="F89" s="6" t="s">
        <v>614</v>
      </c>
      <c r="G89" s="6" t="s">
        <v>615</v>
      </c>
      <c r="H89" s="6" t="s">
        <v>616</v>
      </c>
      <c r="I89" s="6" t="s">
        <v>617</v>
      </c>
      <c r="J89" s="6" t="s">
        <v>104</v>
      </c>
      <c r="K89" s="6" t="s">
        <v>37</v>
      </c>
      <c r="L89" s="6"/>
      <c r="M89" s="7"/>
      <c r="N89" s="6"/>
      <c r="O89" s="6" t="s">
        <v>392</v>
      </c>
      <c r="P89" s="6" t="s">
        <v>39</v>
      </c>
      <c r="Q89" s="7" t="s">
        <v>618</v>
      </c>
    </row>
    <row r="90" customFormat="false" ht="15" hidden="false" customHeight="true" outlineLevel="0" collapsed="false">
      <c r="A90" s="6" t="s">
        <v>619</v>
      </c>
      <c r="B90" s="6" t="s">
        <v>620</v>
      </c>
      <c r="C90" s="6" t="s">
        <v>385</v>
      </c>
      <c r="D90" s="6" t="s">
        <v>467</v>
      </c>
      <c r="E90" s="6" t="s">
        <v>621</v>
      </c>
      <c r="F90" s="6" t="s">
        <v>622</v>
      </c>
      <c r="G90" s="6" t="s">
        <v>389</v>
      </c>
      <c r="H90" s="6" t="s">
        <v>623</v>
      </c>
      <c r="I90" s="6" t="s">
        <v>624</v>
      </c>
      <c r="J90" s="6" t="s">
        <v>104</v>
      </c>
      <c r="K90" s="6" t="s">
        <v>37</v>
      </c>
      <c r="L90" s="6"/>
      <c r="M90" s="7"/>
      <c r="N90" s="6"/>
      <c r="O90" s="6" t="s">
        <v>392</v>
      </c>
      <c r="P90" s="6" t="s">
        <v>39</v>
      </c>
      <c r="Q90" s="7" t="s">
        <v>625</v>
      </c>
    </row>
    <row r="91" customFormat="false" ht="15" hidden="false" customHeight="true" outlineLevel="0" collapsed="false">
      <c r="A91" s="6" t="s">
        <v>626</v>
      </c>
      <c r="B91" s="6" t="s">
        <v>627</v>
      </c>
      <c r="C91" s="6" t="s">
        <v>385</v>
      </c>
      <c r="D91" s="6" t="s">
        <v>544</v>
      </c>
      <c r="E91" s="6" t="s">
        <v>628</v>
      </c>
      <c r="F91" s="6" t="s">
        <v>629</v>
      </c>
      <c r="G91" s="6" t="s">
        <v>389</v>
      </c>
      <c r="H91" s="6" t="s">
        <v>630</v>
      </c>
      <c r="I91" s="6"/>
      <c r="J91" s="6"/>
      <c r="K91" s="6" t="s">
        <v>37</v>
      </c>
      <c r="L91" s="6"/>
      <c r="M91" s="7"/>
      <c r="N91" s="6"/>
      <c r="O91" s="6" t="s">
        <v>392</v>
      </c>
      <c r="P91" s="6" t="s">
        <v>39</v>
      </c>
      <c r="Q91" s="7"/>
    </row>
    <row r="92" customFormat="false" ht="15" hidden="false" customHeight="true" outlineLevel="0" collapsed="false">
      <c r="A92" s="6" t="s">
        <v>631</v>
      </c>
      <c r="B92" s="6" t="s">
        <v>632</v>
      </c>
      <c r="C92" s="6" t="s">
        <v>385</v>
      </c>
      <c r="D92" s="6" t="s">
        <v>633</v>
      </c>
      <c r="E92" s="6" t="s">
        <v>634</v>
      </c>
      <c r="F92" s="6" t="s">
        <v>635</v>
      </c>
      <c r="G92" s="6" t="s">
        <v>389</v>
      </c>
      <c r="H92" s="6" t="s">
        <v>636</v>
      </c>
      <c r="I92" s="6" t="s">
        <v>637</v>
      </c>
      <c r="J92" s="6" t="s">
        <v>48</v>
      </c>
      <c r="K92" s="6" t="s">
        <v>37</v>
      </c>
      <c r="L92" s="6"/>
      <c r="M92" s="7"/>
      <c r="N92" s="6"/>
      <c r="O92" s="6" t="s">
        <v>392</v>
      </c>
      <c r="P92" s="6" t="s">
        <v>39</v>
      </c>
      <c r="Q92" s="7" t="s">
        <v>638</v>
      </c>
    </row>
    <row r="93" customFormat="false" ht="15" hidden="false" customHeight="true" outlineLevel="0" collapsed="false">
      <c r="A93" s="6" t="s">
        <v>639</v>
      </c>
      <c r="B93" s="6" t="s">
        <v>640</v>
      </c>
      <c r="C93" s="6" t="s">
        <v>385</v>
      </c>
      <c r="D93" s="6" t="s">
        <v>641</v>
      </c>
      <c r="E93" s="6" t="s">
        <v>642</v>
      </c>
      <c r="F93" s="6" t="s">
        <v>643</v>
      </c>
      <c r="G93" s="6" t="s">
        <v>389</v>
      </c>
      <c r="H93" s="6" t="s">
        <v>644</v>
      </c>
      <c r="I93" s="6" t="s">
        <v>645</v>
      </c>
      <c r="J93" s="6" t="s">
        <v>48</v>
      </c>
      <c r="K93" s="6" t="s">
        <v>37</v>
      </c>
      <c r="L93" s="6"/>
      <c r="M93" s="7"/>
      <c r="N93" s="6"/>
      <c r="O93" s="6" t="s">
        <v>392</v>
      </c>
      <c r="P93" s="6" t="s">
        <v>39</v>
      </c>
      <c r="Q93" s="7" t="s">
        <v>646</v>
      </c>
    </row>
    <row r="94" customFormat="false" ht="34.5" hidden="false" customHeight="true" outlineLevel="0" collapsed="false">
      <c r="A94" s="6" t="s">
        <v>647</v>
      </c>
      <c r="B94" s="6" t="s">
        <v>648</v>
      </c>
      <c r="C94" s="6" t="s">
        <v>31</v>
      </c>
      <c r="D94" s="6" t="s">
        <v>612</v>
      </c>
      <c r="E94" s="6" t="s">
        <v>613</v>
      </c>
      <c r="F94" s="6" t="s">
        <v>649</v>
      </c>
      <c r="G94" s="6" t="s">
        <v>650</v>
      </c>
      <c r="H94" s="6" t="s">
        <v>651</v>
      </c>
      <c r="I94" s="6"/>
      <c r="J94" s="6"/>
      <c r="K94" s="6" t="s">
        <v>37</v>
      </c>
      <c r="L94" s="6"/>
      <c r="M94" s="7"/>
      <c r="N94" s="6"/>
      <c r="O94" s="6" t="s">
        <v>392</v>
      </c>
      <c r="P94" s="6" t="s">
        <v>39</v>
      </c>
      <c r="Q94" s="7" t="s">
        <v>652</v>
      </c>
    </row>
    <row r="95" customFormat="false" ht="23.25" hidden="false" customHeight="true" outlineLevel="0" collapsed="false">
      <c r="A95" s="6" t="s">
        <v>653</v>
      </c>
      <c r="B95" s="6" t="s">
        <v>654</v>
      </c>
      <c r="C95" s="6" t="s">
        <v>385</v>
      </c>
      <c r="D95" s="6" t="s">
        <v>467</v>
      </c>
      <c r="E95" s="6" t="s">
        <v>655</v>
      </c>
      <c r="F95" s="6" t="s">
        <v>656</v>
      </c>
      <c r="G95" s="6" t="s">
        <v>389</v>
      </c>
      <c r="H95" s="6" t="s">
        <v>657</v>
      </c>
      <c r="I95" s="6"/>
      <c r="J95" s="6"/>
      <c r="K95" s="6" t="s">
        <v>37</v>
      </c>
      <c r="L95" s="6"/>
      <c r="M95" s="7" t="s">
        <v>658</v>
      </c>
      <c r="N95" s="6"/>
      <c r="O95" s="6" t="s">
        <v>392</v>
      </c>
      <c r="P95" s="6" t="s">
        <v>39</v>
      </c>
      <c r="Q95" s="7" t="s">
        <v>659</v>
      </c>
    </row>
    <row r="96" customFormat="false" ht="15" hidden="false" customHeight="true" outlineLevel="0" collapsed="false">
      <c r="A96" s="6" t="s">
        <v>660</v>
      </c>
      <c r="B96" s="6" t="s">
        <v>661</v>
      </c>
      <c r="C96" s="6" t="s">
        <v>385</v>
      </c>
      <c r="D96" s="6" t="s">
        <v>662</v>
      </c>
      <c r="E96" s="6" t="s">
        <v>663</v>
      </c>
      <c r="F96" s="6" t="s">
        <v>664</v>
      </c>
      <c r="G96" s="6" t="s">
        <v>389</v>
      </c>
      <c r="H96" s="6" t="s">
        <v>665</v>
      </c>
      <c r="I96" s="6" t="s">
        <v>666</v>
      </c>
      <c r="J96" s="6" t="s">
        <v>104</v>
      </c>
      <c r="K96" s="6" t="s">
        <v>37</v>
      </c>
      <c r="L96" s="6"/>
      <c r="M96" s="7"/>
      <c r="N96" s="6"/>
      <c r="O96" s="6" t="s">
        <v>392</v>
      </c>
      <c r="P96" s="6" t="s">
        <v>39</v>
      </c>
      <c r="Q96" s="7"/>
    </row>
    <row r="97" customFormat="false" ht="57" hidden="false" customHeight="true" outlineLevel="0" collapsed="false">
      <c r="A97" s="6" t="s">
        <v>667</v>
      </c>
      <c r="B97" s="6" t="s">
        <v>668</v>
      </c>
      <c r="C97" s="6" t="s">
        <v>136</v>
      </c>
      <c r="D97" s="6" t="s">
        <v>396</v>
      </c>
      <c r="E97" s="6" t="s">
        <v>397</v>
      </c>
      <c r="F97" s="6" t="s">
        <v>669</v>
      </c>
      <c r="G97" s="6" t="s">
        <v>670</v>
      </c>
      <c r="H97" s="6" t="s">
        <v>671</v>
      </c>
      <c r="I97" s="6" t="s">
        <v>672</v>
      </c>
      <c r="J97" s="6" t="s">
        <v>104</v>
      </c>
      <c r="K97" s="6" t="s">
        <v>65</v>
      </c>
      <c r="L97" s="6" t="s">
        <v>168</v>
      </c>
      <c r="M97" s="7" t="s">
        <v>169</v>
      </c>
      <c r="N97" s="6" t="s">
        <v>170</v>
      </c>
      <c r="O97" s="6" t="s">
        <v>392</v>
      </c>
      <c r="P97" s="6" t="s">
        <v>39</v>
      </c>
      <c r="Q97" s="7" t="s">
        <v>673</v>
      </c>
    </row>
    <row r="98" customFormat="false" ht="23.25" hidden="false" customHeight="true" outlineLevel="0" collapsed="false">
      <c r="A98" s="6" t="s">
        <v>674</v>
      </c>
      <c r="B98" s="6" t="s">
        <v>675</v>
      </c>
      <c r="C98" s="6" t="s">
        <v>385</v>
      </c>
      <c r="D98" s="6" t="s">
        <v>612</v>
      </c>
      <c r="E98" s="6" t="s">
        <v>613</v>
      </c>
      <c r="F98" s="6" t="s">
        <v>676</v>
      </c>
      <c r="G98" s="6" t="s">
        <v>389</v>
      </c>
      <c r="H98" s="6" t="s">
        <v>677</v>
      </c>
      <c r="I98" s="6" t="s">
        <v>678</v>
      </c>
      <c r="J98" s="6" t="s">
        <v>48</v>
      </c>
      <c r="K98" s="6" t="s">
        <v>37</v>
      </c>
      <c r="L98" s="6"/>
      <c r="M98" s="7"/>
      <c r="N98" s="6"/>
      <c r="O98" s="6" t="s">
        <v>392</v>
      </c>
      <c r="P98" s="6" t="s">
        <v>39</v>
      </c>
      <c r="Q98" s="7" t="s">
        <v>679</v>
      </c>
    </row>
    <row r="99" customFormat="false" ht="15" hidden="false" customHeight="true" outlineLevel="0" collapsed="false">
      <c r="A99" s="6" t="s">
        <v>680</v>
      </c>
      <c r="B99" s="6" t="s">
        <v>681</v>
      </c>
      <c r="C99" s="6" t="s">
        <v>385</v>
      </c>
      <c r="D99" s="6" t="s">
        <v>682</v>
      </c>
      <c r="E99" s="6" t="s">
        <v>683</v>
      </c>
      <c r="F99" s="6" t="s">
        <v>684</v>
      </c>
      <c r="G99" s="6" t="s">
        <v>389</v>
      </c>
      <c r="H99" s="6" t="s">
        <v>1979</v>
      </c>
      <c r="I99" s="6" t="s">
        <v>686</v>
      </c>
      <c r="J99" s="6" t="s">
        <v>104</v>
      </c>
      <c r="K99" s="6" t="s">
        <v>37</v>
      </c>
      <c r="L99" s="6"/>
      <c r="M99" s="7"/>
      <c r="N99" s="6"/>
      <c r="O99" s="6" t="s">
        <v>392</v>
      </c>
      <c r="P99" s="6" t="s">
        <v>1966</v>
      </c>
      <c r="Q99" s="7" t="s">
        <v>687</v>
      </c>
    </row>
    <row r="100" customFormat="false" ht="15" hidden="false" customHeight="true" outlineLevel="0" collapsed="false">
      <c r="A100" s="6" t="s">
        <v>688</v>
      </c>
      <c r="B100" s="6" t="s">
        <v>689</v>
      </c>
      <c r="C100" s="6" t="s">
        <v>385</v>
      </c>
      <c r="D100" s="6" t="s">
        <v>690</v>
      </c>
      <c r="E100" s="6" t="s">
        <v>691</v>
      </c>
      <c r="F100" s="6" t="s">
        <v>692</v>
      </c>
      <c r="G100" s="6" t="s">
        <v>389</v>
      </c>
      <c r="H100" s="6" t="s">
        <v>693</v>
      </c>
      <c r="I100" s="6" t="s">
        <v>694</v>
      </c>
      <c r="J100" s="6" t="s">
        <v>48</v>
      </c>
      <c r="K100" s="6" t="s">
        <v>37</v>
      </c>
      <c r="L100" s="6"/>
      <c r="M100" s="7"/>
      <c r="N100" s="6"/>
      <c r="O100" s="6" t="s">
        <v>392</v>
      </c>
      <c r="P100" s="6" t="s">
        <v>39</v>
      </c>
      <c r="Q100" s="7"/>
    </row>
    <row r="101" customFormat="false" ht="23.25" hidden="false" customHeight="true" outlineLevel="0" collapsed="false">
      <c r="A101" s="6" t="s">
        <v>695</v>
      </c>
      <c r="B101" s="6" t="s">
        <v>696</v>
      </c>
      <c r="C101" s="6" t="s">
        <v>256</v>
      </c>
      <c r="D101" s="6" t="s">
        <v>544</v>
      </c>
      <c r="E101" s="6" t="s">
        <v>697</v>
      </c>
      <c r="F101" s="6" t="s">
        <v>698</v>
      </c>
      <c r="G101" s="6" t="s">
        <v>699</v>
      </c>
      <c r="H101" s="6"/>
      <c r="I101" s="6"/>
      <c r="J101" s="6"/>
      <c r="K101" s="6" t="s">
        <v>37</v>
      </c>
      <c r="L101" s="6"/>
      <c r="M101" s="7"/>
      <c r="N101" s="6"/>
      <c r="O101" s="6" t="s">
        <v>392</v>
      </c>
      <c r="P101" s="6" t="s">
        <v>39</v>
      </c>
      <c r="Q101" s="7" t="s">
        <v>700</v>
      </c>
    </row>
    <row r="102" customFormat="false" ht="23.25" hidden="false" customHeight="true" outlineLevel="0" collapsed="false">
      <c r="A102" s="6" t="s">
        <v>701</v>
      </c>
      <c r="B102" s="6" t="s">
        <v>702</v>
      </c>
      <c r="C102" s="6" t="s">
        <v>31</v>
      </c>
      <c r="D102" s="6" t="s">
        <v>513</v>
      </c>
      <c r="E102" s="6" t="s">
        <v>599</v>
      </c>
      <c r="F102" s="6" t="s">
        <v>703</v>
      </c>
      <c r="G102" s="6" t="s">
        <v>704</v>
      </c>
      <c r="H102" s="6" t="s">
        <v>1975</v>
      </c>
      <c r="I102" s="6" t="s">
        <v>706</v>
      </c>
      <c r="J102" s="6" t="s">
        <v>104</v>
      </c>
      <c r="K102" s="6" t="s">
        <v>37</v>
      </c>
      <c r="L102" s="6"/>
      <c r="M102" s="7"/>
      <c r="N102" s="6"/>
      <c r="O102" s="6" t="s">
        <v>392</v>
      </c>
      <c r="P102" s="6" t="s">
        <v>1966</v>
      </c>
      <c r="Q102" s="7" t="s">
        <v>707</v>
      </c>
    </row>
    <row r="103" customFormat="false" ht="15" hidden="false" customHeight="true" outlineLevel="0" collapsed="false">
      <c r="A103" s="6" t="s">
        <v>708</v>
      </c>
      <c r="B103" s="6" t="s">
        <v>709</v>
      </c>
      <c r="C103" s="6" t="s">
        <v>136</v>
      </c>
      <c r="D103" s="6" t="s">
        <v>396</v>
      </c>
      <c r="E103" s="6" t="s">
        <v>397</v>
      </c>
      <c r="F103" s="6" t="s">
        <v>710</v>
      </c>
      <c r="G103" s="6" t="s">
        <v>711</v>
      </c>
      <c r="H103" s="6" t="s">
        <v>456</v>
      </c>
      <c r="I103" s="6"/>
      <c r="J103" s="6"/>
      <c r="K103" s="6" t="s">
        <v>37</v>
      </c>
      <c r="L103" s="6"/>
      <c r="M103" s="7"/>
      <c r="N103" s="6"/>
      <c r="O103" s="6" t="s">
        <v>392</v>
      </c>
      <c r="P103" s="6" t="s">
        <v>39</v>
      </c>
      <c r="Q103" s="7"/>
    </row>
    <row r="104" customFormat="false" ht="15" hidden="false" customHeight="true" outlineLevel="0" collapsed="false">
      <c r="A104" s="6" t="s">
        <v>712</v>
      </c>
      <c r="B104" s="6" t="s">
        <v>713</v>
      </c>
      <c r="C104" s="6" t="s">
        <v>136</v>
      </c>
      <c r="D104" s="6" t="s">
        <v>396</v>
      </c>
      <c r="E104" s="6" t="s">
        <v>397</v>
      </c>
      <c r="F104" s="6" t="s">
        <v>714</v>
      </c>
      <c r="G104" s="6" t="s">
        <v>715</v>
      </c>
      <c r="H104" s="6" t="s">
        <v>456</v>
      </c>
      <c r="I104" s="6" t="s">
        <v>716</v>
      </c>
      <c r="J104" s="6" t="s">
        <v>48</v>
      </c>
      <c r="K104" s="6" t="s">
        <v>37</v>
      </c>
      <c r="L104" s="6"/>
      <c r="M104" s="7"/>
      <c r="N104" s="6"/>
      <c r="O104" s="6" t="s">
        <v>392</v>
      </c>
      <c r="P104" s="6" t="s">
        <v>39</v>
      </c>
      <c r="Q104" s="7"/>
    </row>
    <row r="105" customFormat="false" ht="23.25" hidden="false" customHeight="true" outlineLevel="0" collapsed="false">
      <c r="A105" s="6" t="s">
        <v>717</v>
      </c>
      <c r="B105" s="6" t="s">
        <v>718</v>
      </c>
      <c r="C105" s="6" t="s">
        <v>31</v>
      </c>
      <c r="D105" s="6" t="s">
        <v>432</v>
      </c>
      <c r="E105" s="6" t="s">
        <v>433</v>
      </c>
      <c r="F105" s="6" t="s">
        <v>719</v>
      </c>
      <c r="G105" s="6" t="s">
        <v>720</v>
      </c>
      <c r="H105" s="6" t="s">
        <v>721</v>
      </c>
      <c r="I105" s="6" t="s">
        <v>722</v>
      </c>
      <c r="J105" s="6" t="s">
        <v>104</v>
      </c>
      <c r="K105" s="6" t="s">
        <v>37</v>
      </c>
      <c r="L105" s="6"/>
      <c r="M105" s="7"/>
      <c r="N105" s="6"/>
      <c r="O105" s="6" t="s">
        <v>392</v>
      </c>
      <c r="P105" s="6" t="s">
        <v>39</v>
      </c>
      <c r="Q105" s="7" t="s">
        <v>723</v>
      </c>
    </row>
    <row r="106" customFormat="false" ht="15" hidden="false" customHeight="true" outlineLevel="0" collapsed="false">
      <c r="A106" s="6" t="s">
        <v>724</v>
      </c>
      <c r="B106" s="6" t="s">
        <v>725</v>
      </c>
      <c r="C106" s="6" t="s">
        <v>136</v>
      </c>
      <c r="D106" s="6" t="s">
        <v>432</v>
      </c>
      <c r="E106" s="6" t="s">
        <v>433</v>
      </c>
      <c r="F106" s="6" t="s">
        <v>726</v>
      </c>
      <c r="G106" s="6" t="s">
        <v>727</v>
      </c>
      <c r="H106" s="6" t="s">
        <v>456</v>
      </c>
      <c r="I106" s="6" t="s">
        <v>728</v>
      </c>
      <c r="J106" s="6" t="s">
        <v>48</v>
      </c>
      <c r="K106" s="6" t="s">
        <v>37</v>
      </c>
      <c r="L106" s="6"/>
      <c r="M106" s="7"/>
      <c r="N106" s="6"/>
      <c r="O106" s="6" t="s">
        <v>392</v>
      </c>
      <c r="P106" s="6" t="s">
        <v>39</v>
      </c>
      <c r="Q106" s="7"/>
    </row>
    <row r="107" customFormat="false" ht="15" hidden="false" customHeight="true" outlineLevel="0" collapsed="false">
      <c r="A107" s="6" t="s">
        <v>729</v>
      </c>
      <c r="B107" s="6" t="s">
        <v>730</v>
      </c>
      <c r="C107" s="6" t="s">
        <v>136</v>
      </c>
      <c r="D107" s="6" t="s">
        <v>396</v>
      </c>
      <c r="E107" s="6" t="s">
        <v>397</v>
      </c>
      <c r="F107" s="6" t="s">
        <v>731</v>
      </c>
      <c r="G107" s="6" t="s">
        <v>732</v>
      </c>
      <c r="H107" s="6" t="s">
        <v>456</v>
      </c>
      <c r="I107" s="6" t="s">
        <v>733</v>
      </c>
      <c r="J107" s="6" t="s">
        <v>104</v>
      </c>
      <c r="K107" s="6" t="s">
        <v>37</v>
      </c>
      <c r="L107" s="6"/>
      <c r="M107" s="7"/>
      <c r="N107" s="6"/>
      <c r="O107" s="6" t="s">
        <v>392</v>
      </c>
      <c r="P107" s="6" t="s">
        <v>39</v>
      </c>
      <c r="Q107" s="7" t="s">
        <v>734</v>
      </c>
    </row>
    <row r="108" customFormat="false" ht="34.5" hidden="false" customHeight="true" outlineLevel="0" collapsed="false">
      <c r="A108" s="6" t="s">
        <v>735</v>
      </c>
      <c r="B108" s="6" t="s">
        <v>736</v>
      </c>
      <c r="C108" s="6" t="s">
        <v>256</v>
      </c>
      <c r="D108" s="6" t="s">
        <v>396</v>
      </c>
      <c r="E108" s="6" t="s">
        <v>579</v>
      </c>
      <c r="F108" s="6" t="s">
        <v>737</v>
      </c>
      <c r="G108" s="6" t="s">
        <v>738</v>
      </c>
      <c r="H108" s="6"/>
      <c r="I108" s="6"/>
      <c r="J108" s="6"/>
      <c r="K108" s="6" t="s">
        <v>37</v>
      </c>
      <c r="L108" s="6"/>
      <c r="M108" s="7"/>
      <c r="N108" s="6"/>
      <c r="O108" s="6" t="s">
        <v>392</v>
      </c>
      <c r="P108" s="6" t="s">
        <v>39</v>
      </c>
      <c r="Q108" s="7" t="s">
        <v>739</v>
      </c>
    </row>
    <row r="109" customFormat="false" ht="57" hidden="false" customHeight="true" outlineLevel="0" collapsed="false">
      <c r="A109" s="6" t="s">
        <v>740</v>
      </c>
      <c r="B109" s="6" t="s">
        <v>741</v>
      </c>
      <c r="C109" s="6" t="s">
        <v>136</v>
      </c>
      <c r="D109" s="6" t="s">
        <v>396</v>
      </c>
      <c r="E109" s="6" t="s">
        <v>397</v>
      </c>
      <c r="F109" s="6" t="s">
        <v>742</v>
      </c>
      <c r="G109" s="6" t="s">
        <v>743</v>
      </c>
      <c r="H109" s="6" t="s">
        <v>744</v>
      </c>
      <c r="I109" s="6" t="s">
        <v>745</v>
      </c>
      <c r="J109" s="6" t="s">
        <v>104</v>
      </c>
      <c r="K109" s="6" t="s">
        <v>65</v>
      </c>
      <c r="L109" s="6" t="s">
        <v>168</v>
      </c>
      <c r="M109" s="7" t="s">
        <v>169</v>
      </c>
      <c r="N109" s="6" t="s">
        <v>170</v>
      </c>
      <c r="O109" s="6" t="s">
        <v>392</v>
      </c>
      <c r="P109" s="6" t="s">
        <v>39</v>
      </c>
      <c r="Q109" s="7" t="s">
        <v>746</v>
      </c>
    </row>
    <row r="110" customFormat="false" ht="57" hidden="false" customHeight="true" outlineLevel="0" collapsed="false">
      <c r="A110" s="6" t="s">
        <v>747</v>
      </c>
      <c r="B110" s="6" t="s">
        <v>748</v>
      </c>
      <c r="C110" s="6" t="s">
        <v>136</v>
      </c>
      <c r="D110" s="6" t="s">
        <v>396</v>
      </c>
      <c r="E110" s="6" t="s">
        <v>397</v>
      </c>
      <c r="F110" s="6" t="s">
        <v>749</v>
      </c>
      <c r="G110" s="6" t="s">
        <v>750</v>
      </c>
      <c r="H110" s="6" t="s">
        <v>751</v>
      </c>
      <c r="I110" s="6" t="s">
        <v>752</v>
      </c>
      <c r="J110" s="6" t="s">
        <v>48</v>
      </c>
      <c r="K110" s="6" t="s">
        <v>65</v>
      </c>
      <c r="L110" s="6" t="s">
        <v>168</v>
      </c>
      <c r="M110" s="7" t="s">
        <v>169</v>
      </c>
      <c r="N110" s="6" t="s">
        <v>170</v>
      </c>
      <c r="O110" s="6" t="s">
        <v>392</v>
      </c>
      <c r="P110" s="6" t="s">
        <v>39</v>
      </c>
      <c r="Q110" s="7" t="s">
        <v>753</v>
      </c>
    </row>
    <row r="111" customFormat="false" ht="15" hidden="false" customHeight="true" outlineLevel="0" collapsed="false">
      <c r="A111" s="6" t="s">
        <v>754</v>
      </c>
      <c r="B111" s="6" t="s">
        <v>755</v>
      </c>
      <c r="C111" s="6" t="s">
        <v>136</v>
      </c>
      <c r="D111" s="6" t="s">
        <v>756</v>
      </c>
      <c r="E111" s="6" t="s">
        <v>757</v>
      </c>
      <c r="F111" s="6" t="s">
        <v>758</v>
      </c>
      <c r="G111" s="6" t="s">
        <v>759</v>
      </c>
      <c r="H111" s="6" t="s">
        <v>456</v>
      </c>
      <c r="I111" s="6"/>
      <c r="J111" s="6"/>
      <c r="K111" s="6" t="s">
        <v>37</v>
      </c>
      <c r="L111" s="6"/>
      <c r="M111" s="7"/>
      <c r="N111" s="6"/>
      <c r="O111" s="6" t="s">
        <v>392</v>
      </c>
      <c r="P111" s="6" t="s">
        <v>39</v>
      </c>
      <c r="Q111" s="7"/>
    </row>
    <row r="112" customFormat="false" ht="15" hidden="false" customHeight="true" outlineLevel="0" collapsed="false">
      <c r="A112" s="6" t="s">
        <v>760</v>
      </c>
      <c r="B112" s="6" t="s">
        <v>761</v>
      </c>
      <c r="C112" s="6" t="s">
        <v>31</v>
      </c>
      <c r="D112" s="6" t="s">
        <v>513</v>
      </c>
      <c r="E112" s="6" t="s">
        <v>762</v>
      </c>
      <c r="F112" s="6" t="s">
        <v>763</v>
      </c>
      <c r="G112" s="6" t="s">
        <v>764</v>
      </c>
      <c r="H112" s="6" t="s">
        <v>765</v>
      </c>
      <c r="I112" s="6"/>
      <c r="J112" s="6"/>
      <c r="K112" s="6" t="s">
        <v>37</v>
      </c>
      <c r="L112" s="6"/>
      <c r="M112" s="7"/>
      <c r="N112" s="6"/>
      <c r="O112" s="6" t="s">
        <v>392</v>
      </c>
      <c r="P112" s="6" t="s">
        <v>39</v>
      </c>
      <c r="Q112" s="7"/>
    </row>
    <row r="113" customFormat="false" ht="15" hidden="false" customHeight="true" outlineLevel="0" collapsed="false">
      <c r="A113" s="6" t="s">
        <v>766</v>
      </c>
      <c r="B113" s="6" t="s">
        <v>767</v>
      </c>
      <c r="C113" s="6" t="s">
        <v>31</v>
      </c>
      <c r="D113" s="6" t="s">
        <v>424</v>
      </c>
      <c r="E113" s="6" t="s">
        <v>768</v>
      </c>
      <c r="F113" s="6" t="s">
        <v>769</v>
      </c>
      <c r="G113" s="6" t="s">
        <v>770</v>
      </c>
      <c r="H113" s="6" t="s">
        <v>771</v>
      </c>
      <c r="I113" s="6" t="s">
        <v>1980</v>
      </c>
      <c r="J113" s="6" t="s">
        <v>104</v>
      </c>
      <c r="K113" s="6" t="s">
        <v>37</v>
      </c>
      <c r="L113" s="6"/>
      <c r="M113" s="7"/>
      <c r="N113" s="6"/>
      <c r="O113" s="6" t="s">
        <v>392</v>
      </c>
      <c r="P113" s="6" t="s">
        <v>1966</v>
      </c>
      <c r="Q113" s="7" t="s">
        <v>773</v>
      </c>
    </row>
    <row r="114" customFormat="false" ht="34.5" hidden="false" customHeight="true" outlineLevel="0" collapsed="false">
      <c r="A114" s="6" t="s">
        <v>774</v>
      </c>
      <c r="B114" s="6" t="s">
        <v>775</v>
      </c>
      <c r="C114" s="6" t="s">
        <v>31</v>
      </c>
      <c r="D114" s="6" t="s">
        <v>424</v>
      </c>
      <c r="E114" s="6" t="s">
        <v>768</v>
      </c>
      <c r="F114" s="6" t="s">
        <v>776</v>
      </c>
      <c r="G114" s="6" t="s">
        <v>777</v>
      </c>
      <c r="H114" s="6"/>
      <c r="I114" s="6"/>
      <c r="J114" s="6"/>
      <c r="K114" s="6" t="s">
        <v>37</v>
      </c>
      <c r="L114" s="6"/>
      <c r="M114" s="7"/>
      <c r="N114" s="6"/>
      <c r="O114" s="6" t="s">
        <v>392</v>
      </c>
      <c r="P114" s="6" t="s">
        <v>39</v>
      </c>
      <c r="Q114" s="7" t="s">
        <v>778</v>
      </c>
    </row>
    <row r="115" customFormat="false" ht="15" hidden="false" customHeight="true" outlineLevel="0" collapsed="false">
      <c r="A115" s="6" t="s">
        <v>779</v>
      </c>
      <c r="B115" s="6" t="s">
        <v>780</v>
      </c>
      <c r="C115" s="6" t="s">
        <v>31</v>
      </c>
      <c r="D115" s="6" t="s">
        <v>633</v>
      </c>
      <c r="E115" s="6" t="s">
        <v>781</v>
      </c>
      <c r="F115" s="6" t="s">
        <v>782</v>
      </c>
      <c r="G115" s="6" t="s">
        <v>783</v>
      </c>
      <c r="H115" s="6"/>
      <c r="I115" s="6"/>
      <c r="J115" s="6"/>
      <c r="K115" s="6" t="s">
        <v>37</v>
      </c>
      <c r="L115" s="6"/>
      <c r="M115" s="7"/>
      <c r="N115" s="6"/>
      <c r="O115" s="6" t="s">
        <v>392</v>
      </c>
      <c r="P115" s="6" t="s">
        <v>39</v>
      </c>
      <c r="Q115" s="7" t="s">
        <v>784</v>
      </c>
    </row>
    <row r="116" customFormat="false" ht="15" hidden="false" customHeight="true" outlineLevel="0" collapsed="false">
      <c r="A116" s="6" t="s">
        <v>785</v>
      </c>
      <c r="B116" s="6" t="s">
        <v>786</v>
      </c>
      <c r="C116" s="6" t="s">
        <v>31</v>
      </c>
      <c r="D116" s="6" t="s">
        <v>424</v>
      </c>
      <c r="E116" s="6" t="s">
        <v>787</v>
      </c>
      <c r="F116" s="6" t="s">
        <v>788</v>
      </c>
      <c r="G116" s="6" t="s">
        <v>789</v>
      </c>
      <c r="H116" s="6" t="s">
        <v>790</v>
      </c>
      <c r="I116" s="6"/>
      <c r="J116" s="6"/>
      <c r="K116" s="6" t="s">
        <v>37</v>
      </c>
      <c r="L116" s="6"/>
      <c r="M116" s="7"/>
      <c r="N116" s="6"/>
      <c r="O116" s="6" t="s">
        <v>392</v>
      </c>
      <c r="P116" s="6" t="s">
        <v>39</v>
      </c>
      <c r="Q116" s="7" t="s">
        <v>791</v>
      </c>
    </row>
    <row r="117" customFormat="false" ht="15" hidden="false" customHeight="true" outlineLevel="0" collapsed="false">
      <c r="A117" s="6" t="s">
        <v>792</v>
      </c>
      <c r="B117" s="6" t="s">
        <v>793</v>
      </c>
      <c r="C117" s="6" t="s">
        <v>385</v>
      </c>
      <c r="D117" s="6" t="s">
        <v>794</v>
      </c>
      <c r="E117" s="6" t="s">
        <v>795</v>
      </c>
      <c r="F117" s="6" t="s">
        <v>796</v>
      </c>
      <c r="G117" s="6" t="s">
        <v>389</v>
      </c>
      <c r="H117" s="6" t="s">
        <v>797</v>
      </c>
      <c r="I117" s="6"/>
      <c r="J117" s="6"/>
      <c r="K117" s="6" t="s">
        <v>37</v>
      </c>
      <c r="L117" s="6"/>
      <c r="M117" s="7"/>
      <c r="N117" s="6"/>
      <c r="O117" s="6" t="s">
        <v>392</v>
      </c>
      <c r="P117" s="6" t="s">
        <v>39</v>
      </c>
      <c r="Q117" s="7"/>
    </row>
    <row r="118" customFormat="false" ht="15" hidden="false" customHeight="true" outlineLevel="0" collapsed="false">
      <c r="A118" s="6" t="s">
        <v>798</v>
      </c>
      <c r="B118" s="6" t="s">
        <v>799</v>
      </c>
      <c r="C118" s="6" t="s">
        <v>385</v>
      </c>
      <c r="D118" s="6" t="s">
        <v>800</v>
      </c>
      <c r="E118" s="6" t="s">
        <v>800</v>
      </c>
      <c r="F118" s="6" t="s">
        <v>801</v>
      </c>
      <c r="G118" s="6" t="s">
        <v>802</v>
      </c>
      <c r="H118" s="6" t="s">
        <v>803</v>
      </c>
      <c r="I118" s="6"/>
      <c r="J118" s="6"/>
      <c r="K118" s="6" t="s">
        <v>37</v>
      </c>
      <c r="L118" s="6"/>
      <c r="M118" s="7"/>
      <c r="N118" s="6"/>
      <c r="O118" s="6" t="s">
        <v>392</v>
      </c>
      <c r="P118" s="6" t="s">
        <v>39</v>
      </c>
      <c r="Q118" s="7" t="s">
        <v>804</v>
      </c>
    </row>
    <row r="119" customFormat="false" ht="15" hidden="false" customHeight="true" outlineLevel="0" collapsed="false">
      <c r="A119" s="6" t="s">
        <v>805</v>
      </c>
      <c r="B119" s="6" t="s">
        <v>806</v>
      </c>
      <c r="C119" s="6" t="s">
        <v>31</v>
      </c>
      <c r="D119" s="6" t="s">
        <v>424</v>
      </c>
      <c r="E119" s="6" t="s">
        <v>425</v>
      </c>
      <c r="F119" s="6" t="s">
        <v>807</v>
      </c>
      <c r="G119" s="6" t="s">
        <v>808</v>
      </c>
      <c r="H119" s="6" t="s">
        <v>809</v>
      </c>
      <c r="I119" s="6"/>
      <c r="J119" s="6"/>
      <c r="K119" s="6" t="s">
        <v>37</v>
      </c>
      <c r="L119" s="6"/>
      <c r="M119" s="7"/>
      <c r="N119" s="6"/>
      <c r="O119" s="6" t="s">
        <v>392</v>
      </c>
      <c r="P119" s="6" t="s">
        <v>39</v>
      </c>
      <c r="Q119" s="7"/>
    </row>
    <row r="120" customFormat="false" ht="15" hidden="false" customHeight="true" outlineLevel="0" collapsed="false">
      <c r="A120" s="6" t="s">
        <v>810</v>
      </c>
      <c r="B120" s="6" t="s">
        <v>811</v>
      </c>
      <c r="C120" s="6" t="s">
        <v>31</v>
      </c>
      <c r="D120" s="6" t="s">
        <v>682</v>
      </c>
      <c r="E120" s="6" t="s">
        <v>683</v>
      </c>
      <c r="F120" s="6" t="s">
        <v>812</v>
      </c>
      <c r="G120" s="6" t="s">
        <v>813</v>
      </c>
      <c r="H120" s="6"/>
      <c r="I120" s="6"/>
      <c r="J120" s="6"/>
      <c r="K120" s="6" t="s">
        <v>37</v>
      </c>
      <c r="L120" s="6"/>
      <c r="M120" s="7"/>
      <c r="N120" s="6"/>
      <c r="O120" s="6" t="s">
        <v>392</v>
      </c>
      <c r="P120" s="6" t="s">
        <v>39</v>
      </c>
      <c r="Q120" s="7" t="s">
        <v>814</v>
      </c>
    </row>
    <row r="121" customFormat="false" ht="23.25" hidden="false" customHeight="true" outlineLevel="0" collapsed="false">
      <c r="A121" s="6" t="s">
        <v>815</v>
      </c>
      <c r="B121" s="6" t="s">
        <v>816</v>
      </c>
      <c r="C121" s="6" t="s">
        <v>256</v>
      </c>
      <c r="D121" s="6" t="s">
        <v>513</v>
      </c>
      <c r="E121" s="6" t="s">
        <v>599</v>
      </c>
      <c r="F121" s="6" t="s">
        <v>817</v>
      </c>
      <c r="G121" s="6" t="s">
        <v>818</v>
      </c>
      <c r="H121" s="6" t="s">
        <v>1978</v>
      </c>
      <c r="I121" s="6" t="s">
        <v>820</v>
      </c>
      <c r="J121" s="6" t="s">
        <v>48</v>
      </c>
      <c r="K121" s="6" t="s">
        <v>37</v>
      </c>
      <c r="L121" s="6"/>
      <c r="M121" s="7"/>
      <c r="N121" s="6"/>
      <c r="O121" s="6" t="s">
        <v>392</v>
      </c>
      <c r="P121" s="6" t="s">
        <v>1966</v>
      </c>
      <c r="Q121" s="7" t="s">
        <v>821</v>
      </c>
    </row>
    <row r="122" customFormat="false" ht="34.5" hidden="false" customHeight="true" outlineLevel="0" collapsed="false">
      <c r="A122" s="6" t="s">
        <v>822</v>
      </c>
      <c r="B122" s="6" t="s">
        <v>823</v>
      </c>
      <c r="C122" s="6" t="s">
        <v>31</v>
      </c>
      <c r="D122" s="6" t="s">
        <v>633</v>
      </c>
      <c r="E122" s="6" t="s">
        <v>824</v>
      </c>
      <c r="F122" s="6" t="s">
        <v>825</v>
      </c>
      <c r="G122" s="6" t="s">
        <v>826</v>
      </c>
      <c r="H122" s="6" t="s">
        <v>827</v>
      </c>
      <c r="I122" s="6"/>
      <c r="J122" s="6"/>
      <c r="K122" s="6" t="s">
        <v>37</v>
      </c>
      <c r="L122" s="6"/>
      <c r="M122" s="7"/>
      <c r="N122" s="6"/>
      <c r="O122" s="6" t="s">
        <v>392</v>
      </c>
      <c r="P122" s="6" t="s">
        <v>39</v>
      </c>
      <c r="Q122" s="7" t="s">
        <v>828</v>
      </c>
    </row>
    <row r="123" customFormat="false" ht="57" hidden="false" customHeight="true" outlineLevel="0" collapsed="false">
      <c r="A123" s="6" t="s">
        <v>829</v>
      </c>
      <c r="B123" s="6" t="s">
        <v>830</v>
      </c>
      <c r="C123" s="6" t="s">
        <v>31</v>
      </c>
      <c r="D123" s="6" t="s">
        <v>396</v>
      </c>
      <c r="E123" s="6" t="s">
        <v>397</v>
      </c>
      <c r="F123" s="6" t="s">
        <v>831</v>
      </c>
      <c r="G123" s="6" t="s">
        <v>832</v>
      </c>
      <c r="H123" s="6" t="s">
        <v>833</v>
      </c>
      <c r="I123" s="6" t="s">
        <v>834</v>
      </c>
      <c r="J123" s="6" t="s">
        <v>48</v>
      </c>
      <c r="K123" s="6" t="s">
        <v>65</v>
      </c>
      <c r="L123" s="6" t="s">
        <v>168</v>
      </c>
      <c r="M123" s="7" t="s">
        <v>169</v>
      </c>
      <c r="N123" s="6" t="s">
        <v>170</v>
      </c>
      <c r="O123" s="6" t="s">
        <v>392</v>
      </c>
      <c r="P123" s="6" t="s">
        <v>39</v>
      </c>
      <c r="Q123" s="7" t="s">
        <v>835</v>
      </c>
    </row>
    <row r="124" customFormat="false" ht="23.25" hidden="false" customHeight="true" outlineLevel="0" collapsed="false">
      <c r="A124" s="6" t="s">
        <v>836</v>
      </c>
      <c r="B124" s="6" t="s">
        <v>837</v>
      </c>
      <c r="C124" s="6" t="s">
        <v>136</v>
      </c>
      <c r="D124" s="6" t="s">
        <v>396</v>
      </c>
      <c r="E124" s="6" t="s">
        <v>397</v>
      </c>
      <c r="F124" s="6" t="s">
        <v>838</v>
      </c>
      <c r="G124" s="6" t="s">
        <v>839</v>
      </c>
      <c r="H124" s="6" t="s">
        <v>1976</v>
      </c>
      <c r="I124" s="6" t="s">
        <v>841</v>
      </c>
      <c r="J124" s="6" t="s">
        <v>48</v>
      </c>
      <c r="K124" s="6" t="s">
        <v>65</v>
      </c>
      <c r="L124" s="6"/>
      <c r="M124" s="7"/>
      <c r="N124" s="6" t="s">
        <v>170</v>
      </c>
      <c r="O124" s="6" t="s">
        <v>392</v>
      </c>
      <c r="P124" s="6" t="s">
        <v>1966</v>
      </c>
      <c r="Q124" s="7" t="s">
        <v>842</v>
      </c>
    </row>
    <row r="125" customFormat="false" ht="23.25" hidden="false" customHeight="true" outlineLevel="0" collapsed="false">
      <c r="A125" s="6" t="s">
        <v>843</v>
      </c>
      <c r="B125" s="6" t="s">
        <v>844</v>
      </c>
      <c r="C125" s="6" t="s">
        <v>136</v>
      </c>
      <c r="D125" s="6" t="s">
        <v>396</v>
      </c>
      <c r="E125" s="6" t="s">
        <v>845</v>
      </c>
      <c r="F125" s="6" t="s">
        <v>846</v>
      </c>
      <c r="G125" s="6" t="s">
        <v>847</v>
      </c>
      <c r="H125" s="6" t="s">
        <v>848</v>
      </c>
      <c r="I125" s="6" t="s">
        <v>849</v>
      </c>
      <c r="J125" s="6" t="s">
        <v>104</v>
      </c>
      <c r="K125" s="6" t="s">
        <v>37</v>
      </c>
      <c r="L125" s="6"/>
      <c r="M125" s="7"/>
      <c r="N125" s="6"/>
      <c r="O125" s="6" t="s">
        <v>392</v>
      </c>
      <c r="P125" s="6" t="s">
        <v>39</v>
      </c>
      <c r="Q125" s="7" t="s">
        <v>850</v>
      </c>
    </row>
    <row r="126" customFormat="false" ht="15" hidden="false" customHeight="true" outlineLevel="0" collapsed="false">
      <c r="A126" s="6" t="s">
        <v>851</v>
      </c>
      <c r="B126" s="6" t="s">
        <v>852</v>
      </c>
      <c r="C126" s="6" t="s">
        <v>31</v>
      </c>
      <c r="D126" s="6" t="s">
        <v>424</v>
      </c>
      <c r="E126" s="6" t="s">
        <v>425</v>
      </c>
      <c r="F126" s="6" t="s">
        <v>853</v>
      </c>
      <c r="G126" s="6" t="s">
        <v>854</v>
      </c>
      <c r="H126" s="6"/>
      <c r="I126" s="6"/>
      <c r="J126" s="6"/>
      <c r="K126" s="6" t="s">
        <v>37</v>
      </c>
      <c r="L126" s="6"/>
      <c r="M126" s="7"/>
      <c r="N126" s="6"/>
      <c r="O126" s="6" t="s">
        <v>392</v>
      </c>
      <c r="P126" s="6" t="s">
        <v>39</v>
      </c>
      <c r="Q126" s="7"/>
    </row>
    <row r="127" customFormat="false" ht="23.25" hidden="false" customHeight="true" outlineLevel="0" collapsed="false">
      <c r="A127" s="6" t="s">
        <v>855</v>
      </c>
      <c r="B127" s="6" t="s">
        <v>856</v>
      </c>
      <c r="C127" s="6" t="s">
        <v>256</v>
      </c>
      <c r="D127" s="6" t="s">
        <v>467</v>
      </c>
      <c r="E127" s="6" t="s">
        <v>468</v>
      </c>
      <c r="F127" s="6" t="s">
        <v>857</v>
      </c>
      <c r="G127" s="6" t="s">
        <v>858</v>
      </c>
      <c r="H127" s="6"/>
      <c r="I127" s="6"/>
      <c r="J127" s="6"/>
      <c r="K127" s="6" t="s">
        <v>37</v>
      </c>
      <c r="L127" s="6"/>
      <c r="M127" s="7"/>
      <c r="N127" s="6"/>
      <c r="O127" s="6" t="s">
        <v>392</v>
      </c>
      <c r="P127" s="6" t="s">
        <v>39</v>
      </c>
      <c r="Q127" s="7" t="s">
        <v>859</v>
      </c>
    </row>
    <row r="128" customFormat="false" ht="23.25" hidden="false" customHeight="true" outlineLevel="0" collapsed="false">
      <c r="A128" s="6" t="s">
        <v>860</v>
      </c>
      <c r="B128" s="6" t="s">
        <v>861</v>
      </c>
      <c r="C128" s="6" t="s">
        <v>136</v>
      </c>
      <c r="D128" s="6" t="s">
        <v>467</v>
      </c>
      <c r="E128" s="6" t="s">
        <v>655</v>
      </c>
      <c r="F128" s="6" t="s">
        <v>862</v>
      </c>
      <c r="G128" s="6" t="s">
        <v>863</v>
      </c>
      <c r="H128" s="6" t="s">
        <v>864</v>
      </c>
      <c r="I128" s="6" t="s">
        <v>865</v>
      </c>
      <c r="J128" s="6" t="s">
        <v>48</v>
      </c>
      <c r="K128" s="6" t="s">
        <v>37</v>
      </c>
      <c r="L128" s="6"/>
      <c r="M128" s="7" t="s">
        <v>866</v>
      </c>
      <c r="N128" s="6"/>
      <c r="O128" s="6" t="s">
        <v>392</v>
      </c>
      <c r="P128" s="6" t="s">
        <v>39</v>
      </c>
      <c r="Q128" s="7" t="s">
        <v>867</v>
      </c>
    </row>
    <row r="129" customFormat="false" ht="15" hidden="false" customHeight="false" outlineLevel="0" collapsed="false">
      <c r="A129" s="1" t="s">
        <v>868</v>
      </c>
      <c r="B129" s="1" t="s">
        <v>869</v>
      </c>
      <c r="C129" s="8" t="s">
        <v>385</v>
      </c>
      <c r="D129" s="1" t="s">
        <v>870</v>
      </c>
      <c r="E129" s="1" t="s">
        <v>871</v>
      </c>
      <c r="F129" s="1" t="s">
        <v>872</v>
      </c>
      <c r="G129" s="1" t="s">
        <v>389</v>
      </c>
      <c r="H129" s="1" t="s">
        <v>873</v>
      </c>
      <c r="K129" s="8" t="s">
        <v>37</v>
      </c>
      <c r="O129" s="1" t="s">
        <v>874</v>
      </c>
      <c r="P129" s="1" t="s">
        <v>875</v>
      </c>
    </row>
    <row r="130" customFormat="false" ht="15" hidden="false" customHeight="false" outlineLevel="0" collapsed="false">
      <c r="A130" s="1" t="s">
        <v>876</v>
      </c>
      <c r="B130" s="1" t="s">
        <v>877</v>
      </c>
      <c r="C130" s="8" t="s">
        <v>385</v>
      </c>
      <c r="D130" s="1" t="s">
        <v>878</v>
      </c>
      <c r="E130" s="1" t="s">
        <v>879</v>
      </c>
      <c r="F130" s="1" t="s">
        <v>880</v>
      </c>
      <c r="G130" s="1" t="s">
        <v>389</v>
      </c>
      <c r="H130" s="1" t="s">
        <v>873</v>
      </c>
      <c r="K130" s="8" t="s">
        <v>37</v>
      </c>
      <c r="O130" s="1" t="s">
        <v>874</v>
      </c>
      <c r="P130" s="1" t="s">
        <v>875</v>
      </c>
    </row>
    <row r="131" customFormat="false" ht="15" hidden="false" customHeight="false" outlineLevel="0" collapsed="false">
      <c r="A131" s="1" t="s">
        <v>881</v>
      </c>
      <c r="B131" s="1" t="s">
        <v>882</v>
      </c>
      <c r="C131" s="8" t="s">
        <v>385</v>
      </c>
      <c r="D131" s="1" t="s">
        <v>883</v>
      </c>
      <c r="E131" s="1" t="s">
        <v>884</v>
      </c>
      <c r="F131" s="1" t="s">
        <v>885</v>
      </c>
      <c r="G131" s="1" t="s">
        <v>389</v>
      </c>
      <c r="H131" s="1" t="s">
        <v>873</v>
      </c>
      <c r="K131" s="8" t="s">
        <v>37</v>
      </c>
      <c r="O131" s="1" t="s">
        <v>874</v>
      </c>
      <c r="P131" s="1" t="s">
        <v>875</v>
      </c>
    </row>
    <row r="132" customFormat="false" ht="15" hidden="false" customHeight="false" outlineLevel="0" collapsed="false">
      <c r="A132" s="1" t="s">
        <v>886</v>
      </c>
      <c r="B132" s="1" t="s">
        <v>887</v>
      </c>
      <c r="C132" s="8" t="s">
        <v>385</v>
      </c>
      <c r="D132" s="1" t="s">
        <v>888</v>
      </c>
      <c r="E132" s="1" t="s">
        <v>889</v>
      </c>
      <c r="F132" s="1" t="s">
        <v>890</v>
      </c>
      <c r="G132" s="1" t="s">
        <v>389</v>
      </c>
      <c r="H132" s="1" t="s">
        <v>873</v>
      </c>
      <c r="K132" s="8" t="s">
        <v>37</v>
      </c>
      <c r="O132" s="1" t="s">
        <v>874</v>
      </c>
      <c r="P132" s="1" t="s">
        <v>875</v>
      </c>
    </row>
    <row r="133" customFormat="false" ht="15" hidden="false" customHeight="false" outlineLevel="0" collapsed="false">
      <c r="A133" s="1" t="s">
        <v>891</v>
      </c>
      <c r="B133" s="1" t="s">
        <v>892</v>
      </c>
      <c r="C133" s="8" t="s">
        <v>385</v>
      </c>
      <c r="D133" s="1" t="s">
        <v>893</v>
      </c>
      <c r="E133" s="1" t="s">
        <v>894</v>
      </c>
      <c r="F133" s="1" t="s">
        <v>895</v>
      </c>
      <c r="G133" s="1" t="s">
        <v>389</v>
      </c>
      <c r="H133" s="1" t="s">
        <v>873</v>
      </c>
      <c r="K133" s="8" t="s">
        <v>37</v>
      </c>
      <c r="O133" s="1" t="s">
        <v>874</v>
      </c>
      <c r="P133" s="1" t="s">
        <v>875</v>
      </c>
    </row>
    <row r="134" customFormat="false" ht="15" hidden="false" customHeight="false" outlineLevel="0" collapsed="false">
      <c r="A134" s="1" t="s">
        <v>896</v>
      </c>
      <c r="B134" s="1" t="s">
        <v>897</v>
      </c>
      <c r="C134" s="8" t="s">
        <v>385</v>
      </c>
      <c r="D134" s="1" t="s">
        <v>386</v>
      </c>
      <c r="E134" s="1" t="s">
        <v>898</v>
      </c>
      <c r="F134" s="1" t="s">
        <v>899</v>
      </c>
      <c r="G134" s="1" t="s">
        <v>389</v>
      </c>
      <c r="H134" s="1" t="s">
        <v>873</v>
      </c>
      <c r="K134" s="8" t="s">
        <v>37</v>
      </c>
      <c r="O134" s="1" t="s">
        <v>874</v>
      </c>
      <c r="P134" s="1" t="s">
        <v>875</v>
      </c>
    </row>
    <row r="135" customFormat="false" ht="15" hidden="false" customHeight="false" outlineLevel="0" collapsed="false">
      <c r="A135" s="1" t="s">
        <v>900</v>
      </c>
      <c r="B135" s="1" t="s">
        <v>901</v>
      </c>
      <c r="C135" s="8" t="s">
        <v>385</v>
      </c>
      <c r="D135" s="1" t="s">
        <v>386</v>
      </c>
      <c r="E135" s="1" t="s">
        <v>898</v>
      </c>
      <c r="F135" s="1" t="s">
        <v>902</v>
      </c>
      <c r="G135" s="1" t="s">
        <v>389</v>
      </c>
      <c r="H135" s="1" t="s">
        <v>873</v>
      </c>
      <c r="K135" s="8" t="s">
        <v>37</v>
      </c>
      <c r="O135" s="1" t="s">
        <v>874</v>
      </c>
      <c r="P135" s="1" t="s">
        <v>875</v>
      </c>
    </row>
    <row r="136" customFormat="false" ht="15" hidden="false" customHeight="false" outlineLevel="0" collapsed="false">
      <c r="C136" s="8"/>
      <c r="K136" s="8"/>
    </row>
    <row r="137" customFormat="false" ht="15" hidden="false" customHeight="false" outlineLevel="0" collapsed="false">
      <c r="C137" s="8"/>
      <c r="K137" s="8"/>
    </row>
    <row r="138" customFormat="false" ht="15" hidden="false" customHeight="false" outlineLevel="0" collapsed="false">
      <c r="C138" s="8"/>
      <c r="K138" s="8"/>
    </row>
    <row r="139" customFormat="false" ht="15" hidden="false" customHeight="false" outlineLevel="0" collapsed="false">
      <c r="C139" s="8"/>
      <c r="K139" s="8"/>
    </row>
    <row r="140" customFormat="false" ht="15" hidden="false" customHeight="false" outlineLevel="0" collapsed="false">
      <c r="C140" s="8"/>
      <c r="K140" s="8"/>
    </row>
    <row r="141" customFormat="false" ht="15" hidden="false" customHeight="false" outlineLevel="0" collapsed="false">
      <c r="C141" s="8"/>
      <c r="K141" s="8"/>
    </row>
    <row r="142" customFormat="false" ht="15" hidden="false" customHeight="false" outlineLevel="0" collapsed="false">
      <c r="C142" s="8"/>
      <c r="K142" s="8"/>
    </row>
    <row r="143" customFormat="false" ht="15" hidden="false" customHeight="false" outlineLevel="0" collapsed="false">
      <c r="C143" s="8"/>
      <c r="K143" s="8"/>
    </row>
    <row r="144" customFormat="false" ht="15" hidden="false" customHeight="false" outlineLevel="0" collapsed="false">
      <c r="C144" s="8"/>
      <c r="K144" s="8"/>
    </row>
    <row r="145" customFormat="false" ht="15" hidden="false" customHeight="false" outlineLevel="0" collapsed="false">
      <c r="C145" s="8"/>
      <c r="K145" s="8"/>
    </row>
    <row r="146" customFormat="false" ht="15" hidden="false" customHeight="false" outlineLevel="0" collapsed="false">
      <c r="C146" s="8"/>
      <c r="K146" s="8"/>
    </row>
    <row r="147" customFormat="false" ht="15" hidden="false" customHeight="false" outlineLevel="0" collapsed="false">
      <c r="C147" s="8"/>
      <c r="K147" s="8"/>
    </row>
    <row r="148" customFormat="false" ht="15" hidden="false" customHeight="false" outlineLevel="0" collapsed="false">
      <c r="C148" s="8"/>
      <c r="K148" s="8"/>
    </row>
    <row r="149" customFormat="false" ht="15" hidden="false" customHeight="false" outlineLevel="0" collapsed="false">
      <c r="C149" s="8"/>
      <c r="K149" s="8"/>
    </row>
    <row r="150" customFormat="false" ht="15" hidden="false" customHeight="false" outlineLevel="0" collapsed="false">
      <c r="C150" s="8"/>
      <c r="K150" s="8"/>
    </row>
    <row r="151" customFormat="false" ht="15" hidden="false" customHeight="false" outlineLevel="0" collapsed="false">
      <c r="C151" s="8"/>
      <c r="K151" s="8"/>
    </row>
    <row r="152" customFormat="false" ht="15" hidden="false" customHeight="false" outlineLevel="0" collapsed="false">
      <c r="C152" s="8"/>
      <c r="K152" s="8"/>
    </row>
    <row r="153" customFormat="false" ht="15" hidden="false" customHeight="false" outlineLevel="0" collapsed="false">
      <c r="C153" s="8"/>
      <c r="K153" s="8"/>
    </row>
    <row r="154" customFormat="false" ht="15" hidden="false" customHeight="false" outlineLevel="0" collapsed="false">
      <c r="C154" s="8"/>
      <c r="K154" s="8"/>
    </row>
    <row r="155" customFormat="false" ht="15" hidden="false" customHeight="false" outlineLevel="0" collapsed="false">
      <c r="C155" s="8"/>
      <c r="K155" s="8"/>
    </row>
    <row r="156" customFormat="false" ht="15" hidden="false" customHeight="false" outlineLevel="0" collapsed="false">
      <c r="C156" s="8"/>
      <c r="K156" s="8"/>
    </row>
    <row r="157" customFormat="false" ht="15" hidden="false" customHeight="false" outlineLevel="0" collapsed="false">
      <c r="C157" s="8"/>
      <c r="K157" s="8"/>
    </row>
    <row r="158" customFormat="false" ht="15" hidden="false" customHeight="false" outlineLevel="0" collapsed="false">
      <c r="C158" s="8"/>
      <c r="K158" s="8"/>
    </row>
    <row r="159" customFormat="false" ht="15" hidden="false" customHeight="false" outlineLevel="0" collapsed="false">
      <c r="C159" s="8"/>
      <c r="K159" s="8"/>
    </row>
    <row r="160" customFormat="false" ht="15" hidden="false" customHeight="false" outlineLevel="0" collapsed="false">
      <c r="C160" s="8"/>
      <c r="K160" s="8"/>
    </row>
    <row r="161" customFormat="false" ht="15" hidden="false" customHeight="false" outlineLevel="0" collapsed="false">
      <c r="C161" s="8"/>
      <c r="K161" s="8"/>
    </row>
    <row r="162" customFormat="false" ht="15" hidden="false" customHeight="false" outlineLevel="0" collapsed="false">
      <c r="C162" s="8"/>
      <c r="K162" s="8"/>
    </row>
    <row r="163" customFormat="false" ht="15" hidden="false" customHeight="false" outlineLevel="0" collapsed="false">
      <c r="C163" s="8"/>
      <c r="K163" s="8"/>
    </row>
    <row r="164" customFormat="false" ht="15" hidden="false" customHeight="false" outlineLevel="0" collapsed="false">
      <c r="C164" s="8"/>
      <c r="K164" s="8"/>
    </row>
    <row r="165" customFormat="false" ht="15" hidden="false" customHeight="false" outlineLevel="0" collapsed="false">
      <c r="C165" s="8"/>
      <c r="K165" s="8"/>
    </row>
    <row r="166" customFormat="false" ht="15" hidden="false" customHeight="false" outlineLevel="0" collapsed="false">
      <c r="C166" s="8"/>
      <c r="K166" s="8"/>
    </row>
    <row r="167" customFormat="false" ht="15" hidden="false" customHeight="false" outlineLevel="0" collapsed="false">
      <c r="C167" s="8"/>
      <c r="K167" s="8"/>
    </row>
    <row r="168" customFormat="false" ht="15" hidden="false" customHeight="false" outlineLevel="0" collapsed="false">
      <c r="C168" s="8"/>
      <c r="K168" s="8"/>
    </row>
    <row r="169" customFormat="false" ht="15" hidden="false" customHeight="false" outlineLevel="0" collapsed="false">
      <c r="C169" s="8"/>
      <c r="K169" s="8"/>
    </row>
    <row r="170" customFormat="false" ht="15" hidden="false" customHeight="false" outlineLevel="0" collapsed="false">
      <c r="C170" s="8"/>
      <c r="K170" s="8"/>
    </row>
    <row r="171" customFormat="false" ht="15" hidden="false" customHeight="false" outlineLevel="0" collapsed="false">
      <c r="C171" s="8"/>
      <c r="K171" s="8"/>
    </row>
    <row r="172" customFormat="false" ht="15" hidden="false" customHeight="false" outlineLevel="0" collapsed="false">
      <c r="C172" s="8"/>
      <c r="K172" s="8"/>
    </row>
    <row r="173" customFormat="false" ht="15" hidden="false" customHeight="false" outlineLevel="0" collapsed="false">
      <c r="C173" s="8"/>
      <c r="K173" s="8"/>
    </row>
    <row r="174" customFormat="false" ht="15" hidden="false" customHeight="false" outlineLevel="0" collapsed="false">
      <c r="C174" s="8"/>
      <c r="K174" s="8"/>
    </row>
    <row r="175" customFormat="false" ht="15" hidden="false" customHeight="false" outlineLevel="0" collapsed="false">
      <c r="C175" s="8"/>
      <c r="K175" s="8"/>
    </row>
    <row r="176" customFormat="false" ht="15" hidden="false" customHeight="false" outlineLevel="0" collapsed="false">
      <c r="C176" s="8"/>
      <c r="K176" s="8"/>
    </row>
    <row r="177" customFormat="false" ht="15" hidden="false" customHeight="false" outlineLevel="0" collapsed="false">
      <c r="C177" s="8"/>
      <c r="K177" s="8"/>
    </row>
    <row r="178" customFormat="false" ht="15" hidden="false" customHeight="false" outlineLevel="0" collapsed="false">
      <c r="C178" s="8"/>
      <c r="K178" s="8"/>
    </row>
    <row r="179" customFormat="false" ht="15" hidden="false" customHeight="false" outlineLevel="0" collapsed="false">
      <c r="C179" s="8"/>
      <c r="K179" s="8"/>
    </row>
    <row r="180" customFormat="false" ht="15" hidden="false" customHeight="false" outlineLevel="0" collapsed="false">
      <c r="C180" s="8"/>
      <c r="K180" s="8"/>
    </row>
    <row r="181" customFormat="false" ht="15" hidden="false" customHeight="false" outlineLevel="0" collapsed="false">
      <c r="C181" s="8"/>
      <c r="K181" s="8"/>
    </row>
    <row r="182" customFormat="false" ht="15" hidden="false" customHeight="false" outlineLevel="0" collapsed="false">
      <c r="C182" s="8"/>
      <c r="K182" s="8"/>
    </row>
    <row r="183" customFormat="false" ht="15" hidden="false" customHeight="false" outlineLevel="0" collapsed="false">
      <c r="C183" s="8"/>
      <c r="K183" s="8"/>
    </row>
    <row r="184" customFormat="false" ht="15" hidden="false" customHeight="false" outlineLevel="0" collapsed="false">
      <c r="C184" s="8"/>
      <c r="K184" s="8"/>
    </row>
    <row r="185" customFormat="false" ht="15" hidden="false" customHeight="false" outlineLevel="0" collapsed="false">
      <c r="C185" s="8"/>
      <c r="K185" s="8"/>
    </row>
    <row r="186" customFormat="false" ht="15" hidden="false" customHeight="false" outlineLevel="0" collapsed="false">
      <c r="C186" s="8"/>
      <c r="K186" s="8"/>
    </row>
    <row r="187" customFormat="false" ht="15" hidden="false" customHeight="false" outlineLevel="0" collapsed="false">
      <c r="C187" s="8"/>
      <c r="K187" s="8"/>
    </row>
    <row r="188" customFormat="false" ht="15" hidden="false" customHeight="false" outlineLevel="0" collapsed="false">
      <c r="C188" s="8"/>
      <c r="K188" s="8"/>
    </row>
    <row r="189" customFormat="false" ht="15" hidden="false" customHeight="false" outlineLevel="0" collapsed="false">
      <c r="C189" s="8"/>
      <c r="K189" s="8"/>
    </row>
    <row r="190" customFormat="false" ht="15" hidden="false" customHeight="false" outlineLevel="0" collapsed="false">
      <c r="C190" s="8"/>
      <c r="K190" s="8"/>
    </row>
    <row r="191" customFormat="false" ht="15" hidden="false" customHeight="false" outlineLevel="0" collapsed="false">
      <c r="C191" s="8"/>
      <c r="K191" s="8"/>
    </row>
    <row r="192" customFormat="false" ht="15" hidden="false" customHeight="false" outlineLevel="0" collapsed="false">
      <c r="C192" s="8"/>
      <c r="K192" s="8"/>
    </row>
    <row r="193" customFormat="false" ht="15" hidden="false" customHeight="false" outlineLevel="0" collapsed="false">
      <c r="C193" s="8"/>
      <c r="K193" s="8"/>
    </row>
    <row r="194" customFormat="false" ht="15" hidden="false" customHeight="false" outlineLevel="0" collapsed="false">
      <c r="C194" s="8"/>
      <c r="K194" s="8"/>
    </row>
    <row r="195" customFormat="false" ht="15" hidden="false" customHeight="false" outlineLevel="0" collapsed="false">
      <c r="C195" s="8"/>
      <c r="K195" s="8"/>
    </row>
    <row r="196" customFormat="false" ht="15" hidden="false" customHeight="false" outlineLevel="0" collapsed="false">
      <c r="C196" s="8"/>
      <c r="K196" s="8"/>
    </row>
    <row r="197" customFormat="false" ht="15" hidden="false" customHeight="false" outlineLevel="0" collapsed="false">
      <c r="C197" s="8"/>
      <c r="K197" s="8"/>
    </row>
    <row r="198" customFormat="false" ht="15" hidden="false" customHeight="false" outlineLevel="0" collapsed="false">
      <c r="C198" s="8"/>
      <c r="K198" s="8"/>
    </row>
    <row r="199" customFormat="false" ht="15" hidden="false" customHeight="false" outlineLevel="0" collapsed="false">
      <c r="C199" s="8"/>
      <c r="K199" s="8"/>
    </row>
    <row r="200" customFormat="false" ht="15" hidden="false" customHeight="false" outlineLevel="0" collapsed="false">
      <c r="C200" s="8"/>
      <c r="K200" s="8"/>
    </row>
    <row r="201" customFormat="false" ht="15" hidden="false" customHeight="false" outlineLevel="0" collapsed="false">
      <c r="C201" s="8"/>
      <c r="K201" s="8"/>
    </row>
    <row r="202" customFormat="false" ht="15" hidden="false" customHeight="false" outlineLevel="0" collapsed="false">
      <c r="C202" s="8"/>
      <c r="K202" s="8"/>
    </row>
    <row r="203" customFormat="false" ht="15" hidden="false" customHeight="false" outlineLevel="0" collapsed="false">
      <c r="C203" s="8"/>
      <c r="K203" s="8"/>
    </row>
    <row r="204" customFormat="false" ht="15" hidden="false" customHeight="false" outlineLevel="0" collapsed="false">
      <c r="C204" s="8"/>
      <c r="K204" s="8"/>
    </row>
    <row r="205" customFormat="false" ht="15" hidden="false" customHeight="false" outlineLevel="0" collapsed="false">
      <c r="C205" s="8"/>
      <c r="K205" s="8"/>
    </row>
    <row r="206" customFormat="false" ht="15" hidden="false" customHeight="false" outlineLevel="0" collapsed="false">
      <c r="C206" s="8"/>
      <c r="K206" s="8"/>
    </row>
    <row r="207" customFormat="false" ht="15" hidden="false" customHeight="false" outlineLevel="0" collapsed="false">
      <c r="C207" s="8"/>
      <c r="K207" s="8"/>
    </row>
    <row r="208" customFormat="false" ht="15" hidden="false" customHeight="false" outlineLevel="0" collapsed="false">
      <c r="C208" s="8"/>
      <c r="K208" s="8"/>
    </row>
    <row r="209" customFormat="false" ht="15" hidden="false" customHeight="false" outlineLevel="0" collapsed="false">
      <c r="C209" s="8"/>
      <c r="K209" s="8"/>
    </row>
    <row r="210" customFormat="false" ht="15" hidden="false" customHeight="false" outlineLevel="0" collapsed="false">
      <c r="C210" s="8"/>
      <c r="K210" s="8"/>
    </row>
    <row r="211" customFormat="false" ht="15" hidden="false" customHeight="false" outlineLevel="0" collapsed="false">
      <c r="C211" s="8"/>
      <c r="K211" s="8"/>
    </row>
    <row r="212" customFormat="false" ht="15" hidden="false" customHeight="false" outlineLevel="0" collapsed="false">
      <c r="C212" s="8"/>
      <c r="K212" s="8"/>
    </row>
    <row r="213" customFormat="false" ht="15" hidden="false" customHeight="false" outlineLevel="0" collapsed="false">
      <c r="C213" s="8"/>
      <c r="K213" s="8"/>
    </row>
    <row r="214" customFormat="false" ht="15" hidden="false" customHeight="false" outlineLevel="0" collapsed="false">
      <c r="C214" s="8"/>
      <c r="K214" s="8"/>
    </row>
    <row r="215" customFormat="false" ht="15" hidden="false" customHeight="false" outlineLevel="0" collapsed="false">
      <c r="C215" s="8"/>
      <c r="K215" s="8"/>
    </row>
    <row r="216" customFormat="false" ht="15" hidden="false" customHeight="false" outlineLevel="0" collapsed="false">
      <c r="C216" s="8"/>
      <c r="K216" s="8"/>
    </row>
    <row r="217" customFormat="false" ht="15" hidden="false" customHeight="false" outlineLevel="0" collapsed="false">
      <c r="C217" s="8"/>
      <c r="K217" s="8"/>
    </row>
    <row r="218" customFormat="false" ht="15" hidden="false" customHeight="false" outlineLevel="0" collapsed="false">
      <c r="C218" s="8"/>
      <c r="K218" s="8"/>
    </row>
    <row r="219" customFormat="false" ht="15" hidden="false" customHeight="false" outlineLevel="0" collapsed="false">
      <c r="C219" s="8"/>
      <c r="K219" s="8"/>
    </row>
    <row r="220" customFormat="false" ht="15" hidden="false" customHeight="false" outlineLevel="0" collapsed="false">
      <c r="C220" s="8"/>
      <c r="K220" s="8"/>
    </row>
    <row r="221" customFormat="false" ht="15" hidden="false" customHeight="false" outlineLevel="0" collapsed="false">
      <c r="C221" s="8"/>
      <c r="K221" s="8"/>
    </row>
    <row r="222" customFormat="false" ht="15" hidden="false" customHeight="false" outlineLevel="0" collapsed="false">
      <c r="C222" s="8"/>
      <c r="K222" s="8"/>
    </row>
    <row r="223" customFormat="false" ht="15" hidden="false" customHeight="false" outlineLevel="0" collapsed="false">
      <c r="C223" s="8"/>
      <c r="K223" s="8"/>
    </row>
    <row r="224" customFormat="false" ht="15" hidden="false" customHeight="false" outlineLevel="0" collapsed="false">
      <c r="C224" s="8"/>
      <c r="K224" s="8"/>
    </row>
    <row r="225" customFormat="false" ht="15" hidden="false" customHeight="false" outlineLevel="0" collapsed="false">
      <c r="C225" s="8"/>
      <c r="K225" s="8"/>
    </row>
    <row r="226" customFormat="false" ht="15" hidden="false" customHeight="false" outlineLevel="0" collapsed="false">
      <c r="C226" s="8"/>
      <c r="K226" s="8"/>
    </row>
    <row r="227" customFormat="false" ht="15" hidden="false" customHeight="false" outlineLevel="0" collapsed="false">
      <c r="C227" s="8"/>
      <c r="K227" s="8"/>
    </row>
    <row r="228" customFormat="false" ht="15" hidden="false" customHeight="false" outlineLevel="0" collapsed="false">
      <c r="C228" s="8"/>
      <c r="K228" s="8"/>
    </row>
    <row r="229" customFormat="false" ht="15" hidden="false" customHeight="false" outlineLevel="0" collapsed="false">
      <c r="C229" s="8"/>
      <c r="K229" s="8"/>
    </row>
    <row r="230" customFormat="false" ht="15" hidden="false" customHeight="false" outlineLevel="0" collapsed="false">
      <c r="C230" s="8"/>
      <c r="K230" s="8"/>
    </row>
    <row r="231" customFormat="false" ht="15" hidden="false" customHeight="false" outlineLevel="0" collapsed="false">
      <c r="C231" s="8"/>
      <c r="K231" s="8"/>
    </row>
    <row r="232" customFormat="false" ht="15" hidden="false" customHeight="false" outlineLevel="0" collapsed="false">
      <c r="C232" s="8"/>
      <c r="K232" s="8"/>
    </row>
    <row r="233" customFormat="false" ht="15" hidden="false" customHeight="false" outlineLevel="0" collapsed="false">
      <c r="C233" s="8"/>
      <c r="K233" s="8"/>
    </row>
    <row r="234" customFormat="false" ht="15" hidden="false" customHeight="false" outlineLevel="0" collapsed="false">
      <c r="C234" s="8"/>
      <c r="K234" s="8"/>
    </row>
    <row r="235" customFormat="false" ht="15" hidden="false" customHeight="false" outlineLevel="0" collapsed="false">
      <c r="C235" s="8"/>
      <c r="K235" s="8"/>
    </row>
    <row r="236" customFormat="false" ht="15" hidden="false" customHeight="false" outlineLevel="0" collapsed="false">
      <c r="C236" s="8"/>
      <c r="K236" s="8"/>
    </row>
    <row r="237" customFormat="false" ht="15" hidden="false" customHeight="false" outlineLevel="0" collapsed="false">
      <c r="C237" s="8"/>
      <c r="K237" s="8"/>
    </row>
    <row r="238" customFormat="false" ht="15" hidden="false" customHeight="false" outlineLevel="0" collapsed="false">
      <c r="C238" s="8"/>
      <c r="K238" s="8"/>
    </row>
    <row r="239" customFormat="false" ht="15" hidden="false" customHeight="false" outlineLevel="0" collapsed="false">
      <c r="C239" s="8"/>
      <c r="K239" s="8"/>
    </row>
    <row r="240" customFormat="false" ht="15" hidden="false" customHeight="false" outlineLevel="0" collapsed="false">
      <c r="C240" s="8"/>
      <c r="K240" s="8"/>
    </row>
    <row r="241" customFormat="false" ht="15" hidden="false" customHeight="false" outlineLevel="0" collapsed="false">
      <c r="C241" s="8"/>
      <c r="K241" s="8"/>
    </row>
    <row r="242" customFormat="false" ht="15" hidden="false" customHeight="false" outlineLevel="0" collapsed="false">
      <c r="C242" s="8"/>
      <c r="K242" s="8"/>
    </row>
    <row r="243" customFormat="false" ht="15" hidden="false" customHeight="false" outlineLevel="0" collapsed="false">
      <c r="C243" s="8"/>
      <c r="K243" s="8"/>
    </row>
    <row r="244" customFormat="false" ht="15" hidden="false" customHeight="false" outlineLevel="0" collapsed="false">
      <c r="C244" s="8"/>
      <c r="K244" s="8"/>
    </row>
    <row r="245" customFormat="false" ht="15" hidden="false" customHeight="false" outlineLevel="0" collapsed="false">
      <c r="C245" s="8"/>
      <c r="K245" s="8"/>
    </row>
    <row r="246" customFormat="false" ht="15" hidden="false" customHeight="false" outlineLevel="0" collapsed="false">
      <c r="C246" s="8"/>
      <c r="K246" s="8"/>
    </row>
    <row r="247" customFormat="false" ht="15" hidden="false" customHeight="false" outlineLevel="0" collapsed="false">
      <c r="C247" s="8"/>
      <c r="K247" s="8"/>
    </row>
    <row r="248" customFormat="false" ht="15" hidden="false" customHeight="false" outlineLevel="0" collapsed="false">
      <c r="C248" s="8"/>
      <c r="K248" s="8"/>
    </row>
    <row r="249" customFormat="false" ht="15" hidden="false" customHeight="false" outlineLevel="0" collapsed="false">
      <c r="C249" s="8"/>
      <c r="K249" s="8"/>
    </row>
    <row r="250" customFormat="false" ht="15" hidden="false" customHeight="false" outlineLevel="0" collapsed="false">
      <c r="C250" s="8"/>
      <c r="K250" s="8"/>
    </row>
    <row r="251" customFormat="false" ht="15" hidden="false" customHeight="false" outlineLevel="0" collapsed="false">
      <c r="C251" s="8"/>
      <c r="K251" s="8"/>
    </row>
    <row r="252" customFormat="false" ht="15" hidden="false" customHeight="false" outlineLevel="0" collapsed="false">
      <c r="C252" s="8"/>
      <c r="K252" s="8"/>
    </row>
    <row r="253" customFormat="false" ht="15" hidden="false" customHeight="false" outlineLevel="0" collapsed="false">
      <c r="C253" s="8"/>
      <c r="K253" s="8"/>
    </row>
    <row r="254" customFormat="false" ht="15" hidden="false" customHeight="false" outlineLevel="0" collapsed="false">
      <c r="C254" s="8"/>
      <c r="K254" s="8"/>
    </row>
    <row r="255" customFormat="false" ht="15" hidden="false" customHeight="false" outlineLevel="0" collapsed="false">
      <c r="C255" s="8"/>
      <c r="K255" s="8"/>
    </row>
    <row r="256" customFormat="false" ht="15" hidden="false" customHeight="false" outlineLevel="0" collapsed="false">
      <c r="C256" s="8"/>
      <c r="K256" s="8"/>
    </row>
    <row r="257" customFormat="false" ht="15" hidden="false" customHeight="false" outlineLevel="0" collapsed="false">
      <c r="C257" s="8"/>
      <c r="K257" s="8"/>
    </row>
    <row r="258" customFormat="false" ht="15" hidden="false" customHeight="false" outlineLevel="0" collapsed="false">
      <c r="C258" s="8"/>
      <c r="K258" s="8"/>
    </row>
    <row r="259" customFormat="false" ht="15" hidden="false" customHeight="false" outlineLevel="0" collapsed="false">
      <c r="C259" s="8"/>
      <c r="K259" s="8"/>
    </row>
    <row r="260" customFormat="false" ht="15" hidden="false" customHeight="false" outlineLevel="0" collapsed="false">
      <c r="C260" s="8"/>
      <c r="K260" s="8"/>
    </row>
    <row r="261" customFormat="false" ht="15" hidden="false" customHeight="false" outlineLevel="0" collapsed="false">
      <c r="C261" s="8"/>
      <c r="K261" s="8"/>
    </row>
    <row r="262" customFormat="false" ht="15" hidden="false" customHeight="false" outlineLevel="0" collapsed="false">
      <c r="C262" s="8"/>
      <c r="K262" s="8"/>
    </row>
    <row r="263" customFormat="false" ht="15" hidden="false" customHeight="false" outlineLevel="0" collapsed="false">
      <c r="C263" s="8"/>
      <c r="K263" s="8"/>
    </row>
    <row r="264" customFormat="false" ht="15" hidden="false" customHeight="false" outlineLevel="0" collapsed="false">
      <c r="C264" s="8"/>
      <c r="K264" s="8"/>
    </row>
    <row r="265" customFormat="false" ht="15" hidden="false" customHeight="false" outlineLevel="0" collapsed="false">
      <c r="C265" s="8"/>
      <c r="K265" s="8"/>
    </row>
    <row r="266" customFormat="false" ht="15" hidden="false" customHeight="false" outlineLevel="0" collapsed="false">
      <c r="C266" s="8"/>
      <c r="K266" s="8"/>
    </row>
    <row r="267" customFormat="false" ht="15" hidden="false" customHeight="false" outlineLevel="0" collapsed="false">
      <c r="C267" s="8"/>
      <c r="K267" s="8"/>
    </row>
    <row r="268" customFormat="false" ht="15" hidden="false" customHeight="false" outlineLevel="0" collapsed="false">
      <c r="C268" s="8"/>
      <c r="K268" s="8"/>
    </row>
    <row r="269" customFormat="false" ht="15" hidden="false" customHeight="false" outlineLevel="0" collapsed="false">
      <c r="C269" s="8"/>
      <c r="K269" s="8"/>
    </row>
    <row r="270" customFormat="false" ht="15" hidden="false" customHeight="false" outlineLevel="0" collapsed="false">
      <c r="C270" s="8"/>
      <c r="K270" s="8"/>
    </row>
    <row r="271" customFormat="false" ht="15" hidden="false" customHeight="false" outlineLevel="0" collapsed="false">
      <c r="C271" s="8"/>
      <c r="K271" s="8"/>
    </row>
    <row r="272" customFormat="false" ht="15" hidden="false" customHeight="false" outlineLevel="0" collapsed="false">
      <c r="C272" s="8"/>
      <c r="K272" s="8"/>
    </row>
    <row r="273" customFormat="false" ht="15" hidden="false" customHeight="false" outlineLevel="0" collapsed="false">
      <c r="C273" s="8"/>
      <c r="K273" s="8"/>
    </row>
    <row r="274" customFormat="false" ht="15" hidden="false" customHeight="false" outlineLevel="0" collapsed="false">
      <c r="C274" s="8"/>
      <c r="K274" s="8"/>
    </row>
    <row r="275" customFormat="false" ht="15" hidden="false" customHeight="false" outlineLevel="0" collapsed="false">
      <c r="C275" s="8"/>
      <c r="K275" s="8"/>
    </row>
    <row r="276" customFormat="false" ht="15" hidden="false" customHeight="false" outlineLevel="0" collapsed="false">
      <c r="C276" s="8"/>
      <c r="K276" s="8"/>
    </row>
    <row r="277" customFormat="false" ht="15" hidden="false" customHeight="false" outlineLevel="0" collapsed="false">
      <c r="C277" s="8"/>
      <c r="K277" s="8"/>
    </row>
    <row r="278" customFormat="false" ht="15" hidden="false" customHeight="false" outlineLevel="0" collapsed="false">
      <c r="C278" s="8"/>
      <c r="K278" s="8"/>
    </row>
    <row r="279" customFormat="false" ht="15" hidden="false" customHeight="false" outlineLevel="0" collapsed="false">
      <c r="C279" s="8"/>
      <c r="K279" s="8"/>
    </row>
    <row r="280" customFormat="false" ht="15" hidden="false" customHeight="false" outlineLevel="0" collapsed="false">
      <c r="C280" s="8"/>
      <c r="K280" s="8"/>
    </row>
    <row r="281" customFormat="false" ht="15" hidden="false" customHeight="false" outlineLevel="0" collapsed="false">
      <c r="C281" s="8"/>
      <c r="K281" s="8"/>
    </row>
    <row r="282" customFormat="false" ht="15" hidden="false" customHeight="false" outlineLevel="0" collapsed="false">
      <c r="C282" s="8"/>
      <c r="K282" s="8"/>
    </row>
    <row r="283" customFormat="false" ht="15" hidden="false" customHeight="false" outlineLevel="0" collapsed="false">
      <c r="C283" s="8"/>
      <c r="K283" s="8"/>
    </row>
    <row r="284" customFormat="false" ht="15" hidden="false" customHeight="false" outlineLevel="0" collapsed="false">
      <c r="C284" s="8"/>
      <c r="K284" s="8"/>
    </row>
    <row r="285" customFormat="false" ht="15" hidden="false" customHeight="false" outlineLevel="0" collapsed="false">
      <c r="C285" s="8"/>
      <c r="K285" s="8"/>
    </row>
    <row r="286" customFormat="false" ht="15" hidden="false" customHeight="false" outlineLevel="0" collapsed="false">
      <c r="C286" s="8"/>
      <c r="K286" s="8"/>
    </row>
    <row r="287" customFormat="false" ht="15" hidden="false" customHeight="false" outlineLevel="0" collapsed="false">
      <c r="C287" s="8"/>
      <c r="K287" s="8"/>
    </row>
    <row r="288" customFormat="false" ht="15" hidden="false" customHeight="false" outlineLevel="0" collapsed="false">
      <c r="C288" s="8"/>
      <c r="K288" s="8"/>
    </row>
    <row r="289" customFormat="false" ht="15" hidden="false" customHeight="false" outlineLevel="0" collapsed="false">
      <c r="C289" s="8"/>
      <c r="K289" s="8"/>
    </row>
    <row r="290" customFormat="false" ht="15" hidden="false" customHeight="false" outlineLevel="0" collapsed="false">
      <c r="C290" s="8"/>
      <c r="K290" s="8"/>
    </row>
    <row r="291" customFormat="false" ht="15" hidden="false" customHeight="false" outlineLevel="0" collapsed="false">
      <c r="C291" s="8"/>
      <c r="K291" s="8"/>
    </row>
    <row r="292" customFormat="false" ht="15" hidden="false" customHeight="false" outlineLevel="0" collapsed="false">
      <c r="C292" s="8"/>
      <c r="K292" s="8"/>
    </row>
    <row r="293" customFormat="false" ht="15" hidden="false" customHeight="false" outlineLevel="0" collapsed="false">
      <c r="C293" s="8"/>
      <c r="K293" s="8"/>
    </row>
    <row r="294" customFormat="false" ht="15" hidden="false" customHeight="false" outlineLevel="0" collapsed="false">
      <c r="C294" s="8"/>
      <c r="K294" s="8"/>
    </row>
    <row r="295" customFormat="false" ht="15" hidden="false" customHeight="false" outlineLevel="0" collapsed="false">
      <c r="C295" s="8"/>
      <c r="K295" s="8"/>
    </row>
    <row r="296" customFormat="false" ht="15" hidden="false" customHeight="false" outlineLevel="0" collapsed="false">
      <c r="C296" s="8"/>
      <c r="K296" s="8"/>
    </row>
    <row r="297" customFormat="false" ht="15" hidden="false" customHeight="false" outlineLevel="0" collapsed="false">
      <c r="C297" s="8"/>
      <c r="K297" s="8"/>
    </row>
    <row r="298" customFormat="false" ht="15" hidden="false" customHeight="false" outlineLevel="0" collapsed="false">
      <c r="C298" s="8"/>
      <c r="K298" s="8"/>
    </row>
    <row r="299" customFormat="false" ht="15" hidden="false" customHeight="false" outlineLevel="0" collapsed="false">
      <c r="C299" s="8"/>
      <c r="K299" s="8"/>
    </row>
    <row r="300" customFormat="false" ht="15" hidden="false" customHeight="false" outlineLevel="0" collapsed="false">
      <c r="C300" s="8"/>
      <c r="K300" s="8"/>
    </row>
    <row r="301" customFormat="false" ht="15" hidden="false" customHeight="false" outlineLevel="0" collapsed="false">
      <c r="C301" s="8"/>
      <c r="K301" s="8"/>
    </row>
    <row r="302" customFormat="false" ht="15" hidden="false" customHeight="false" outlineLevel="0" collapsed="false">
      <c r="C302" s="8"/>
      <c r="K302" s="8"/>
    </row>
    <row r="303" customFormat="false" ht="15" hidden="false" customHeight="false" outlineLevel="0" collapsed="false">
      <c r="C303" s="8"/>
      <c r="K303" s="8"/>
    </row>
    <row r="304" customFormat="false" ht="15" hidden="false" customHeight="false" outlineLevel="0" collapsed="false">
      <c r="C304" s="8"/>
      <c r="K304" s="8"/>
    </row>
    <row r="305" customFormat="false" ht="15" hidden="false" customHeight="false" outlineLevel="0" collapsed="false">
      <c r="C305" s="8"/>
      <c r="K305" s="8"/>
    </row>
    <row r="306" customFormat="false" ht="15" hidden="false" customHeight="false" outlineLevel="0" collapsed="false">
      <c r="C306" s="8"/>
      <c r="K306" s="8"/>
    </row>
    <row r="307" customFormat="false" ht="15" hidden="false" customHeight="false" outlineLevel="0" collapsed="false">
      <c r="C307" s="8"/>
      <c r="K307" s="8"/>
    </row>
    <row r="308" customFormat="false" ht="15" hidden="false" customHeight="false" outlineLevel="0" collapsed="false">
      <c r="C308" s="8"/>
      <c r="K308" s="8"/>
    </row>
    <row r="309" customFormat="false" ht="15" hidden="false" customHeight="false" outlineLevel="0" collapsed="false">
      <c r="C309" s="8"/>
      <c r="K309" s="8"/>
    </row>
    <row r="310" customFormat="false" ht="15" hidden="false" customHeight="false" outlineLevel="0" collapsed="false">
      <c r="C310" s="8"/>
      <c r="K310" s="8"/>
    </row>
    <row r="311" customFormat="false" ht="15" hidden="false" customHeight="false" outlineLevel="0" collapsed="false">
      <c r="C311" s="8"/>
      <c r="K311" s="8"/>
    </row>
    <row r="312" customFormat="false" ht="15" hidden="false" customHeight="false" outlineLevel="0" collapsed="false">
      <c r="C312" s="8"/>
      <c r="K312" s="8"/>
    </row>
    <row r="313" customFormat="false" ht="15" hidden="false" customHeight="false" outlineLevel="0" collapsed="false">
      <c r="C313" s="8"/>
      <c r="K313" s="8"/>
    </row>
    <row r="314" customFormat="false" ht="15" hidden="false" customHeight="false" outlineLevel="0" collapsed="false">
      <c r="C314" s="8"/>
      <c r="K314" s="8"/>
    </row>
    <row r="315" customFormat="false" ht="15" hidden="false" customHeight="false" outlineLevel="0" collapsed="false">
      <c r="C315" s="8"/>
      <c r="K315" s="8"/>
    </row>
    <row r="316" customFormat="false" ht="15" hidden="false" customHeight="false" outlineLevel="0" collapsed="false">
      <c r="C316" s="8"/>
      <c r="K316" s="8"/>
    </row>
    <row r="317" customFormat="false" ht="15" hidden="false" customHeight="false" outlineLevel="0" collapsed="false">
      <c r="C317" s="8"/>
      <c r="K317" s="8"/>
    </row>
    <row r="318" customFormat="false" ht="15" hidden="false" customHeight="false" outlineLevel="0" collapsed="false">
      <c r="C318" s="8"/>
      <c r="K318" s="8"/>
    </row>
    <row r="319" customFormat="false" ht="15" hidden="false" customHeight="false" outlineLevel="0" collapsed="false">
      <c r="C319" s="8"/>
      <c r="K319" s="8"/>
    </row>
    <row r="320" customFormat="false" ht="15" hidden="false" customHeight="false" outlineLevel="0" collapsed="false">
      <c r="C320" s="8"/>
      <c r="K320" s="8"/>
    </row>
    <row r="321" customFormat="false" ht="15" hidden="false" customHeight="false" outlineLevel="0" collapsed="false">
      <c r="C321" s="8"/>
      <c r="K321" s="8"/>
    </row>
    <row r="322" customFormat="false" ht="15" hidden="false" customHeight="false" outlineLevel="0" collapsed="false">
      <c r="C322" s="8"/>
      <c r="K322" s="8"/>
    </row>
    <row r="323" customFormat="false" ht="15" hidden="false" customHeight="false" outlineLevel="0" collapsed="false">
      <c r="C323" s="8"/>
      <c r="K323" s="8"/>
    </row>
    <row r="324" customFormat="false" ht="15" hidden="false" customHeight="false" outlineLevel="0" collapsed="false">
      <c r="C324" s="8"/>
      <c r="K324" s="8"/>
    </row>
    <row r="325" customFormat="false" ht="15" hidden="false" customHeight="false" outlineLevel="0" collapsed="false">
      <c r="C325" s="8"/>
      <c r="K325" s="8"/>
    </row>
    <row r="326" customFormat="false" ht="15" hidden="false" customHeight="false" outlineLevel="0" collapsed="false">
      <c r="C326" s="8"/>
      <c r="K326" s="8"/>
    </row>
    <row r="327" customFormat="false" ht="15" hidden="false" customHeight="false" outlineLevel="0" collapsed="false">
      <c r="C327" s="8"/>
      <c r="K327" s="8"/>
    </row>
    <row r="328" customFormat="false" ht="15" hidden="false" customHeight="false" outlineLevel="0" collapsed="false">
      <c r="C328" s="8"/>
      <c r="K328" s="8"/>
    </row>
    <row r="329" customFormat="false" ht="15" hidden="false" customHeight="false" outlineLevel="0" collapsed="false">
      <c r="C329" s="8"/>
      <c r="K329" s="8"/>
    </row>
    <row r="330" customFormat="false" ht="15" hidden="false" customHeight="false" outlineLevel="0" collapsed="false">
      <c r="C330" s="8"/>
      <c r="K330" s="8"/>
    </row>
    <row r="331" customFormat="false" ht="15" hidden="false" customHeight="false" outlineLevel="0" collapsed="false">
      <c r="C331" s="8"/>
      <c r="K331" s="8"/>
    </row>
    <row r="332" customFormat="false" ht="15" hidden="false" customHeight="false" outlineLevel="0" collapsed="false">
      <c r="C332" s="8"/>
      <c r="K332" s="8"/>
    </row>
    <row r="333" customFormat="false" ht="15" hidden="false" customHeight="false" outlineLevel="0" collapsed="false">
      <c r="C333" s="8"/>
      <c r="K333" s="8"/>
    </row>
    <row r="334" customFormat="false" ht="15" hidden="false" customHeight="false" outlineLevel="0" collapsed="false">
      <c r="C334" s="8"/>
      <c r="K334" s="8"/>
    </row>
    <row r="335" customFormat="false" ht="15" hidden="false" customHeight="false" outlineLevel="0" collapsed="false">
      <c r="C335" s="8"/>
      <c r="K335" s="8"/>
    </row>
    <row r="336" customFormat="false" ht="15" hidden="false" customHeight="false" outlineLevel="0" collapsed="false">
      <c r="C336" s="8"/>
      <c r="K336" s="8"/>
    </row>
    <row r="337" customFormat="false" ht="15" hidden="false" customHeight="false" outlineLevel="0" collapsed="false">
      <c r="C337" s="8"/>
      <c r="K337" s="8"/>
    </row>
    <row r="338" customFormat="false" ht="15" hidden="false" customHeight="false" outlineLevel="0" collapsed="false">
      <c r="C338" s="8"/>
      <c r="K338" s="8"/>
    </row>
    <row r="339" customFormat="false" ht="15" hidden="false" customHeight="false" outlineLevel="0" collapsed="false">
      <c r="C339" s="8"/>
      <c r="K339" s="8"/>
    </row>
    <row r="340" customFormat="false" ht="15" hidden="false" customHeight="false" outlineLevel="0" collapsed="false">
      <c r="C340" s="8"/>
      <c r="K340" s="8"/>
    </row>
    <row r="341" customFormat="false" ht="15" hidden="false" customHeight="false" outlineLevel="0" collapsed="false">
      <c r="C341" s="8"/>
      <c r="K341" s="8"/>
    </row>
    <row r="342" customFormat="false" ht="15" hidden="false" customHeight="false" outlineLevel="0" collapsed="false">
      <c r="C342" s="8"/>
      <c r="K342" s="8"/>
    </row>
    <row r="343" customFormat="false" ht="15" hidden="false" customHeight="false" outlineLevel="0" collapsed="false">
      <c r="C343" s="8"/>
      <c r="K343" s="8"/>
    </row>
    <row r="344" customFormat="false" ht="15" hidden="false" customHeight="false" outlineLevel="0" collapsed="false">
      <c r="C344" s="8"/>
      <c r="K344" s="8"/>
    </row>
    <row r="345" customFormat="false" ht="15" hidden="false" customHeight="false" outlineLevel="0" collapsed="false">
      <c r="C345" s="8"/>
      <c r="K345" s="8"/>
    </row>
    <row r="346" customFormat="false" ht="15" hidden="false" customHeight="false" outlineLevel="0" collapsed="false">
      <c r="C346" s="8"/>
      <c r="K346" s="8"/>
    </row>
    <row r="347" customFormat="false" ht="15" hidden="false" customHeight="false" outlineLevel="0" collapsed="false">
      <c r="C347" s="8"/>
      <c r="K347" s="8"/>
    </row>
    <row r="348" customFormat="false" ht="15" hidden="false" customHeight="false" outlineLevel="0" collapsed="false">
      <c r="C348" s="8"/>
      <c r="K348" s="8"/>
    </row>
    <row r="349" customFormat="false" ht="15" hidden="false" customHeight="false" outlineLevel="0" collapsed="false">
      <c r="C349" s="8"/>
      <c r="K349" s="8"/>
    </row>
    <row r="350" customFormat="false" ht="15" hidden="false" customHeight="false" outlineLevel="0" collapsed="false">
      <c r="C350" s="8"/>
      <c r="K350" s="8"/>
    </row>
    <row r="351" customFormat="false" ht="15" hidden="false" customHeight="false" outlineLevel="0" collapsed="false">
      <c r="C351" s="8"/>
      <c r="K351" s="8"/>
    </row>
    <row r="352" customFormat="false" ht="15" hidden="false" customHeight="false" outlineLevel="0" collapsed="false">
      <c r="C352" s="8"/>
      <c r="K352" s="8"/>
    </row>
    <row r="353" customFormat="false" ht="15" hidden="false" customHeight="false" outlineLevel="0" collapsed="false">
      <c r="C353" s="8"/>
      <c r="K353" s="8"/>
    </row>
    <row r="354" customFormat="false" ht="15" hidden="false" customHeight="false" outlineLevel="0" collapsed="false">
      <c r="C354" s="8"/>
      <c r="K354" s="8"/>
    </row>
    <row r="355" customFormat="false" ht="15" hidden="false" customHeight="false" outlineLevel="0" collapsed="false">
      <c r="C355" s="8"/>
      <c r="K355" s="8"/>
    </row>
    <row r="356" customFormat="false" ht="15" hidden="false" customHeight="false" outlineLevel="0" collapsed="false">
      <c r="C356" s="8"/>
      <c r="K356" s="8"/>
    </row>
    <row r="357" customFormat="false" ht="15" hidden="false" customHeight="false" outlineLevel="0" collapsed="false">
      <c r="C357" s="8"/>
      <c r="K357" s="8"/>
    </row>
    <row r="358" customFormat="false" ht="15" hidden="false" customHeight="false" outlineLevel="0" collapsed="false">
      <c r="C358" s="8"/>
      <c r="K358" s="8"/>
    </row>
    <row r="359" customFormat="false" ht="15" hidden="false" customHeight="false" outlineLevel="0" collapsed="false">
      <c r="C359" s="8"/>
      <c r="K359" s="8"/>
    </row>
    <row r="360" customFormat="false" ht="15" hidden="false" customHeight="false" outlineLevel="0" collapsed="false">
      <c r="C360" s="8"/>
      <c r="K360" s="8"/>
    </row>
    <row r="361" customFormat="false" ht="15" hidden="false" customHeight="false" outlineLevel="0" collapsed="false">
      <c r="C361" s="8"/>
      <c r="K361" s="8"/>
    </row>
    <row r="362" customFormat="false" ht="15" hidden="false" customHeight="false" outlineLevel="0" collapsed="false">
      <c r="C362" s="8"/>
      <c r="K362" s="8"/>
    </row>
    <row r="363" customFormat="false" ht="15" hidden="false" customHeight="false" outlineLevel="0" collapsed="false">
      <c r="C363" s="8"/>
      <c r="K363" s="8"/>
    </row>
    <row r="364" customFormat="false" ht="15" hidden="false" customHeight="false" outlineLevel="0" collapsed="false">
      <c r="C364" s="8"/>
      <c r="K364" s="8"/>
    </row>
    <row r="365" customFormat="false" ht="15" hidden="false" customHeight="false" outlineLevel="0" collapsed="false">
      <c r="C365" s="8"/>
      <c r="K365" s="8"/>
    </row>
    <row r="366" customFormat="false" ht="15" hidden="false" customHeight="false" outlineLevel="0" collapsed="false">
      <c r="C366" s="8"/>
      <c r="K366" s="8"/>
    </row>
    <row r="367" customFormat="false" ht="15" hidden="false" customHeight="false" outlineLevel="0" collapsed="false">
      <c r="C367" s="8"/>
      <c r="K367" s="8"/>
    </row>
    <row r="368" customFormat="false" ht="15" hidden="false" customHeight="false" outlineLevel="0" collapsed="false">
      <c r="C368" s="8"/>
      <c r="K368" s="8"/>
    </row>
    <row r="369" customFormat="false" ht="15" hidden="false" customHeight="false" outlineLevel="0" collapsed="false">
      <c r="C369" s="8"/>
      <c r="K369" s="8"/>
    </row>
    <row r="370" customFormat="false" ht="15" hidden="false" customHeight="false" outlineLevel="0" collapsed="false">
      <c r="C370" s="8"/>
      <c r="K370" s="8"/>
    </row>
    <row r="371" customFormat="false" ht="15" hidden="false" customHeight="false" outlineLevel="0" collapsed="false">
      <c r="C371" s="8"/>
      <c r="K371" s="8"/>
    </row>
    <row r="372" customFormat="false" ht="15" hidden="false" customHeight="false" outlineLevel="0" collapsed="false">
      <c r="C372" s="8"/>
      <c r="K372" s="8"/>
    </row>
    <row r="373" customFormat="false" ht="15" hidden="false" customHeight="false" outlineLevel="0" collapsed="false">
      <c r="C373" s="8"/>
      <c r="K373" s="8"/>
    </row>
    <row r="374" customFormat="false" ht="15" hidden="false" customHeight="false" outlineLevel="0" collapsed="false">
      <c r="C374" s="8"/>
      <c r="K374" s="8"/>
    </row>
    <row r="375" customFormat="false" ht="15" hidden="false" customHeight="false" outlineLevel="0" collapsed="false">
      <c r="C375" s="8"/>
      <c r="K375" s="8"/>
    </row>
    <row r="376" customFormat="false" ht="15" hidden="false" customHeight="false" outlineLevel="0" collapsed="false">
      <c r="C376" s="8"/>
      <c r="K376" s="8"/>
    </row>
    <row r="377" customFormat="false" ht="15" hidden="false" customHeight="false" outlineLevel="0" collapsed="false">
      <c r="C377" s="8"/>
      <c r="K377" s="8"/>
    </row>
    <row r="378" customFormat="false" ht="15" hidden="false" customHeight="false" outlineLevel="0" collapsed="false">
      <c r="C378" s="8"/>
      <c r="K378" s="8"/>
    </row>
    <row r="379" customFormat="false" ht="15" hidden="false" customHeight="false" outlineLevel="0" collapsed="false">
      <c r="C379" s="8"/>
      <c r="K379" s="8"/>
    </row>
    <row r="380" customFormat="false" ht="15" hidden="false" customHeight="false" outlineLevel="0" collapsed="false">
      <c r="C380" s="8"/>
      <c r="K380" s="8"/>
    </row>
    <row r="381" customFormat="false" ht="15" hidden="false" customHeight="false" outlineLevel="0" collapsed="false">
      <c r="C381" s="8"/>
      <c r="K381" s="8"/>
    </row>
    <row r="382" customFormat="false" ht="15" hidden="false" customHeight="false" outlineLevel="0" collapsed="false">
      <c r="C382" s="8"/>
      <c r="K382" s="8"/>
    </row>
    <row r="383" customFormat="false" ht="15" hidden="false" customHeight="false" outlineLevel="0" collapsed="false">
      <c r="C383" s="8"/>
      <c r="K383" s="8"/>
    </row>
    <row r="384" customFormat="false" ht="15" hidden="false" customHeight="false" outlineLevel="0" collapsed="false">
      <c r="C384" s="8"/>
      <c r="K384" s="8"/>
    </row>
    <row r="385" customFormat="false" ht="15" hidden="false" customHeight="false" outlineLevel="0" collapsed="false">
      <c r="C385" s="8"/>
      <c r="K385" s="8"/>
    </row>
    <row r="386" customFormat="false" ht="15" hidden="false" customHeight="false" outlineLevel="0" collapsed="false">
      <c r="C386" s="8"/>
      <c r="K386" s="8"/>
    </row>
    <row r="387" customFormat="false" ht="15" hidden="false" customHeight="false" outlineLevel="0" collapsed="false">
      <c r="C387" s="8"/>
      <c r="K387" s="8"/>
    </row>
    <row r="388" customFormat="false" ht="15" hidden="false" customHeight="false" outlineLevel="0" collapsed="false">
      <c r="C388" s="8"/>
      <c r="K388" s="8"/>
    </row>
    <row r="389" customFormat="false" ht="15" hidden="false" customHeight="false" outlineLevel="0" collapsed="false">
      <c r="C389" s="8"/>
      <c r="K389" s="8"/>
    </row>
    <row r="390" customFormat="false" ht="15" hidden="false" customHeight="false" outlineLevel="0" collapsed="false">
      <c r="C390" s="8"/>
      <c r="K390" s="8"/>
    </row>
    <row r="391" customFormat="false" ht="15" hidden="false" customHeight="false" outlineLevel="0" collapsed="false">
      <c r="C391" s="8"/>
      <c r="K391" s="8"/>
    </row>
    <row r="392" customFormat="false" ht="15" hidden="false" customHeight="false" outlineLevel="0" collapsed="false">
      <c r="C392" s="8"/>
      <c r="K392" s="8"/>
    </row>
    <row r="393" customFormat="false" ht="15" hidden="false" customHeight="false" outlineLevel="0" collapsed="false">
      <c r="C393" s="8"/>
      <c r="K393" s="8"/>
    </row>
    <row r="394" customFormat="false" ht="15" hidden="false" customHeight="false" outlineLevel="0" collapsed="false">
      <c r="C394" s="8"/>
      <c r="K394" s="8"/>
    </row>
    <row r="395" customFormat="false" ht="15" hidden="false" customHeight="false" outlineLevel="0" collapsed="false">
      <c r="C395" s="8"/>
      <c r="K395" s="8"/>
    </row>
    <row r="396" customFormat="false" ht="15" hidden="false" customHeight="false" outlineLevel="0" collapsed="false">
      <c r="C396" s="8"/>
      <c r="K396" s="8"/>
    </row>
    <row r="397" customFormat="false" ht="15" hidden="false" customHeight="false" outlineLevel="0" collapsed="false">
      <c r="C397" s="8"/>
      <c r="K397" s="8"/>
    </row>
    <row r="398" customFormat="false" ht="15" hidden="false" customHeight="false" outlineLevel="0" collapsed="false">
      <c r="C398" s="8"/>
      <c r="K398" s="8"/>
    </row>
    <row r="399" customFormat="false" ht="15" hidden="false" customHeight="false" outlineLevel="0" collapsed="false">
      <c r="C399" s="8"/>
      <c r="K399" s="8"/>
    </row>
    <row r="400" customFormat="false" ht="15" hidden="false" customHeight="false" outlineLevel="0" collapsed="false">
      <c r="C400" s="8"/>
      <c r="K400" s="8"/>
    </row>
    <row r="401" customFormat="false" ht="15" hidden="false" customHeight="false" outlineLevel="0" collapsed="false">
      <c r="C401" s="8"/>
      <c r="K401" s="8"/>
    </row>
    <row r="402" customFormat="false" ht="15" hidden="false" customHeight="false" outlineLevel="0" collapsed="false">
      <c r="C402" s="8"/>
      <c r="K402" s="8"/>
    </row>
    <row r="403" customFormat="false" ht="15" hidden="false" customHeight="false" outlineLevel="0" collapsed="false">
      <c r="C403" s="8"/>
      <c r="K403" s="8"/>
    </row>
    <row r="404" customFormat="false" ht="15" hidden="false" customHeight="false" outlineLevel="0" collapsed="false">
      <c r="C404" s="8"/>
      <c r="K404" s="8"/>
    </row>
    <row r="405" customFormat="false" ht="15" hidden="false" customHeight="false" outlineLevel="0" collapsed="false">
      <c r="C405" s="8"/>
      <c r="K405" s="8"/>
    </row>
    <row r="406" customFormat="false" ht="15" hidden="false" customHeight="false" outlineLevel="0" collapsed="false">
      <c r="C406" s="8"/>
      <c r="K406" s="8"/>
    </row>
    <row r="407" customFormat="false" ht="15" hidden="false" customHeight="false" outlineLevel="0" collapsed="false">
      <c r="C407" s="8"/>
      <c r="K407" s="8"/>
    </row>
    <row r="408" customFormat="false" ht="15" hidden="false" customHeight="false" outlineLevel="0" collapsed="false">
      <c r="C408" s="8"/>
      <c r="K408" s="8"/>
    </row>
    <row r="409" customFormat="false" ht="15" hidden="false" customHeight="false" outlineLevel="0" collapsed="false">
      <c r="C409" s="8"/>
      <c r="K409" s="8"/>
    </row>
    <row r="410" customFormat="false" ht="15" hidden="false" customHeight="false" outlineLevel="0" collapsed="false">
      <c r="C410" s="8"/>
      <c r="K410" s="8"/>
    </row>
    <row r="411" customFormat="false" ht="15" hidden="false" customHeight="false" outlineLevel="0" collapsed="false">
      <c r="C411" s="8"/>
      <c r="K411" s="8"/>
    </row>
    <row r="412" customFormat="false" ht="15" hidden="false" customHeight="false" outlineLevel="0" collapsed="false">
      <c r="C412" s="8"/>
      <c r="K412" s="8"/>
    </row>
    <row r="413" customFormat="false" ht="15" hidden="false" customHeight="false" outlineLevel="0" collapsed="false">
      <c r="C413" s="8"/>
      <c r="K413" s="8"/>
    </row>
    <row r="414" customFormat="false" ht="15" hidden="false" customHeight="false" outlineLevel="0" collapsed="false">
      <c r="C414" s="8"/>
      <c r="K414" s="8"/>
    </row>
    <row r="415" customFormat="false" ht="15" hidden="false" customHeight="false" outlineLevel="0" collapsed="false">
      <c r="C415" s="8"/>
      <c r="K415" s="8"/>
    </row>
    <row r="416" customFormat="false" ht="15" hidden="false" customHeight="false" outlineLevel="0" collapsed="false">
      <c r="C416" s="8"/>
      <c r="K416" s="8"/>
    </row>
    <row r="417" customFormat="false" ht="15" hidden="false" customHeight="false" outlineLevel="0" collapsed="false">
      <c r="C417" s="8"/>
      <c r="K417" s="8"/>
    </row>
    <row r="418" customFormat="false" ht="15" hidden="false" customHeight="false" outlineLevel="0" collapsed="false">
      <c r="C418" s="8"/>
      <c r="K418" s="8"/>
    </row>
    <row r="419" customFormat="false" ht="15" hidden="false" customHeight="false" outlineLevel="0" collapsed="false">
      <c r="C419" s="8"/>
      <c r="K419" s="8"/>
    </row>
    <row r="420" customFormat="false" ht="15" hidden="false" customHeight="false" outlineLevel="0" collapsed="false">
      <c r="C420" s="8"/>
      <c r="K420" s="8"/>
    </row>
    <row r="421" customFormat="false" ht="15" hidden="false" customHeight="false" outlineLevel="0" collapsed="false">
      <c r="C421" s="8"/>
      <c r="K421" s="8"/>
    </row>
    <row r="422" customFormat="false" ht="15" hidden="false" customHeight="false" outlineLevel="0" collapsed="false">
      <c r="C422" s="8"/>
      <c r="K422" s="8"/>
    </row>
    <row r="423" customFormat="false" ht="15" hidden="false" customHeight="false" outlineLevel="0" collapsed="false">
      <c r="C423" s="8"/>
      <c r="K423" s="8"/>
    </row>
    <row r="424" customFormat="false" ht="15" hidden="false" customHeight="false" outlineLevel="0" collapsed="false">
      <c r="C424" s="8"/>
      <c r="K424" s="8"/>
    </row>
    <row r="425" customFormat="false" ht="15" hidden="false" customHeight="false" outlineLevel="0" collapsed="false">
      <c r="C425" s="8"/>
      <c r="K425" s="8"/>
    </row>
    <row r="426" customFormat="false" ht="15" hidden="false" customHeight="false" outlineLevel="0" collapsed="false">
      <c r="C426" s="8"/>
      <c r="K426" s="8"/>
    </row>
    <row r="427" customFormat="false" ht="15" hidden="false" customHeight="false" outlineLevel="0" collapsed="false">
      <c r="C427" s="8"/>
      <c r="K427" s="8"/>
    </row>
    <row r="428" customFormat="false" ht="15" hidden="false" customHeight="false" outlineLevel="0" collapsed="false">
      <c r="C428" s="8"/>
      <c r="K428" s="8"/>
    </row>
    <row r="429" customFormat="false" ht="15" hidden="false" customHeight="false" outlineLevel="0" collapsed="false">
      <c r="C429" s="8"/>
      <c r="K429" s="8"/>
    </row>
    <row r="430" customFormat="false" ht="15" hidden="false" customHeight="false" outlineLevel="0" collapsed="false">
      <c r="C430" s="8"/>
      <c r="K430" s="8"/>
    </row>
    <row r="431" customFormat="false" ht="15" hidden="false" customHeight="false" outlineLevel="0" collapsed="false">
      <c r="C431" s="8"/>
      <c r="K431" s="8"/>
    </row>
    <row r="432" customFormat="false" ht="15" hidden="false" customHeight="false" outlineLevel="0" collapsed="false">
      <c r="C432" s="8"/>
      <c r="K432" s="8"/>
    </row>
    <row r="433" customFormat="false" ht="15" hidden="false" customHeight="false" outlineLevel="0" collapsed="false">
      <c r="C433" s="8"/>
      <c r="K433" s="8"/>
    </row>
    <row r="434" customFormat="false" ht="15" hidden="false" customHeight="false" outlineLevel="0" collapsed="false">
      <c r="C434" s="8"/>
      <c r="K434" s="8"/>
    </row>
    <row r="435" customFormat="false" ht="15" hidden="false" customHeight="false" outlineLevel="0" collapsed="false">
      <c r="C435" s="8"/>
      <c r="K435" s="8"/>
    </row>
    <row r="436" customFormat="false" ht="15" hidden="false" customHeight="false" outlineLevel="0" collapsed="false">
      <c r="C436" s="8"/>
      <c r="K436" s="8"/>
    </row>
    <row r="437" customFormat="false" ht="15" hidden="false" customHeight="false" outlineLevel="0" collapsed="false">
      <c r="C437" s="8"/>
      <c r="K437" s="8"/>
    </row>
    <row r="438" customFormat="false" ht="15" hidden="false" customHeight="false" outlineLevel="0" collapsed="false">
      <c r="C438" s="8"/>
      <c r="K438" s="8"/>
    </row>
    <row r="439" customFormat="false" ht="15" hidden="false" customHeight="false" outlineLevel="0" collapsed="false">
      <c r="C439" s="8"/>
      <c r="K439" s="8"/>
    </row>
    <row r="440" customFormat="false" ht="15" hidden="false" customHeight="false" outlineLevel="0" collapsed="false">
      <c r="C440" s="8"/>
      <c r="K440" s="8"/>
    </row>
    <row r="441" customFormat="false" ht="15" hidden="false" customHeight="false" outlineLevel="0" collapsed="false">
      <c r="C441" s="8"/>
      <c r="K441" s="8"/>
    </row>
    <row r="442" customFormat="false" ht="15" hidden="false" customHeight="false" outlineLevel="0" collapsed="false">
      <c r="C442" s="8"/>
      <c r="K442" s="8"/>
    </row>
    <row r="443" customFormat="false" ht="15" hidden="false" customHeight="false" outlineLevel="0" collapsed="false">
      <c r="C443" s="8"/>
      <c r="K443" s="8"/>
    </row>
    <row r="444" customFormat="false" ht="15" hidden="false" customHeight="false" outlineLevel="0" collapsed="false">
      <c r="C444" s="8"/>
      <c r="K444" s="8"/>
    </row>
    <row r="445" customFormat="false" ht="15" hidden="false" customHeight="false" outlineLevel="0" collapsed="false">
      <c r="C445" s="8"/>
      <c r="K445" s="8"/>
    </row>
    <row r="446" customFormat="false" ht="15" hidden="false" customHeight="false" outlineLevel="0" collapsed="false">
      <c r="C446" s="8"/>
      <c r="K446" s="8"/>
    </row>
    <row r="447" customFormat="false" ht="15" hidden="false" customHeight="false" outlineLevel="0" collapsed="false">
      <c r="C447" s="8"/>
      <c r="K447" s="8"/>
    </row>
    <row r="448" customFormat="false" ht="15" hidden="false" customHeight="false" outlineLevel="0" collapsed="false">
      <c r="C448" s="8"/>
      <c r="K448" s="8"/>
    </row>
    <row r="449" customFormat="false" ht="15" hidden="false" customHeight="false" outlineLevel="0" collapsed="false">
      <c r="C449" s="8"/>
      <c r="K449" s="8"/>
    </row>
    <row r="450" customFormat="false" ht="15" hidden="false" customHeight="false" outlineLevel="0" collapsed="false">
      <c r="C450" s="8"/>
      <c r="K450" s="8"/>
    </row>
    <row r="451" customFormat="false" ht="15" hidden="false" customHeight="false" outlineLevel="0" collapsed="false">
      <c r="C451" s="8"/>
      <c r="K451" s="8"/>
    </row>
    <row r="452" customFormat="false" ht="15" hidden="false" customHeight="false" outlineLevel="0" collapsed="false">
      <c r="C452" s="8"/>
      <c r="K452" s="8"/>
    </row>
    <row r="453" customFormat="false" ht="15" hidden="false" customHeight="false" outlineLevel="0" collapsed="false">
      <c r="C453" s="8"/>
      <c r="K453" s="8"/>
    </row>
    <row r="454" customFormat="false" ht="15" hidden="false" customHeight="false" outlineLevel="0" collapsed="false">
      <c r="C454" s="8"/>
      <c r="K454" s="8"/>
    </row>
    <row r="455" customFormat="false" ht="15" hidden="false" customHeight="false" outlineLevel="0" collapsed="false">
      <c r="C455" s="8"/>
      <c r="K455" s="8"/>
    </row>
    <row r="456" customFormat="false" ht="15" hidden="false" customHeight="false" outlineLevel="0" collapsed="false">
      <c r="C456" s="8"/>
      <c r="K456" s="8"/>
    </row>
    <row r="457" customFormat="false" ht="15" hidden="false" customHeight="false" outlineLevel="0" collapsed="false">
      <c r="C457" s="8"/>
      <c r="K457" s="8"/>
    </row>
    <row r="458" customFormat="false" ht="15" hidden="false" customHeight="false" outlineLevel="0" collapsed="false">
      <c r="C458" s="8"/>
      <c r="K458" s="8"/>
    </row>
    <row r="459" customFormat="false" ht="15" hidden="false" customHeight="false" outlineLevel="0" collapsed="false">
      <c r="C459" s="8"/>
      <c r="K459" s="8"/>
    </row>
    <row r="460" customFormat="false" ht="15" hidden="false" customHeight="false" outlineLevel="0" collapsed="false">
      <c r="C460" s="8"/>
      <c r="K460" s="8"/>
    </row>
    <row r="461" customFormat="false" ht="15" hidden="false" customHeight="false" outlineLevel="0" collapsed="false">
      <c r="C461" s="8"/>
      <c r="K461" s="8"/>
    </row>
    <row r="462" customFormat="false" ht="15" hidden="false" customHeight="false" outlineLevel="0" collapsed="false">
      <c r="C462" s="8"/>
      <c r="K462" s="8"/>
    </row>
    <row r="463" customFormat="false" ht="15" hidden="false" customHeight="false" outlineLevel="0" collapsed="false">
      <c r="C463" s="8"/>
      <c r="K463" s="8"/>
    </row>
    <row r="464" customFormat="false" ht="15" hidden="false" customHeight="false" outlineLevel="0" collapsed="false">
      <c r="C464" s="8"/>
      <c r="K464" s="8"/>
    </row>
    <row r="465" customFormat="false" ht="15" hidden="false" customHeight="false" outlineLevel="0" collapsed="false">
      <c r="C465" s="8"/>
      <c r="K465" s="8"/>
    </row>
    <row r="466" customFormat="false" ht="15" hidden="false" customHeight="false" outlineLevel="0" collapsed="false">
      <c r="C466" s="8"/>
      <c r="K466" s="8"/>
    </row>
    <row r="467" customFormat="false" ht="15" hidden="false" customHeight="false" outlineLevel="0" collapsed="false">
      <c r="C467" s="8"/>
      <c r="K467" s="8"/>
    </row>
    <row r="468" customFormat="false" ht="15" hidden="false" customHeight="false" outlineLevel="0" collapsed="false">
      <c r="C468" s="8"/>
      <c r="K468" s="8"/>
    </row>
    <row r="469" customFormat="false" ht="15" hidden="false" customHeight="false" outlineLevel="0" collapsed="false">
      <c r="C469" s="8"/>
      <c r="K469" s="8"/>
    </row>
    <row r="470" customFormat="false" ht="15" hidden="false" customHeight="false" outlineLevel="0" collapsed="false">
      <c r="C470" s="8"/>
      <c r="K470" s="8"/>
    </row>
    <row r="471" customFormat="false" ht="15" hidden="false" customHeight="false" outlineLevel="0" collapsed="false">
      <c r="C471" s="8"/>
      <c r="K471" s="8"/>
    </row>
    <row r="472" customFormat="false" ht="15" hidden="false" customHeight="false" outlineLevel="0" collapsed="false">
      <c r="C472" s="8"/>
      <c r="K472" s="8"/>
    </row>
    <row r="473" customFormat="false" ht="15" hidden="false" customHeight="false" outlineLevel="0" collapsed="false">
      <c r="C473" s="8"/>
      <c r="K473" s="8"/>
    </row>
    <row r="474" customFormat="false" ht="15" hidden="false" customHeight="false" outlineLevel="0" collapsed="false">
      <c r="C474" s="8"/>
      <c r="K474" s="8"/>
    </row>
    <row r="475" customFormat="false" ht="15" hidden="false" customHeight="false" outlineLevel="0" collapsed="false">
      <c r="C475" s="8"/>
      <c r="K475" s="8"/>
    </row>
    <row r="476" customFormat="false" ht="15" hidden="false" customHeight="false" outlineLevel="0" collapsed="false">
      <c r="C476" s="8"/>
      <c r="K476" s="8"/>
    </row>
    <row r="477" customFormat="false" ht="15" hidden="false" customHeight="false" outlineLevel="0" collapsed="false">
      <c r="C477" s="8"/>
      <c r="K477" s="8"/>
    </row>
    <row r="478" customFormat="false" ht="15" hidden="false" customHeight="false" outlineLevel="0" collapsed="false">
      <c r="C478" s="8"/>
      <c r="K478" s="8"/>
    </row>
    <row r="479" customFormat="false" ht="15" hidden="false" customHeight="false" outlineLevel="0" collapsed="false">
      <c r="C479" s="8"/>
      <c r="K479" s="8"/>
    </row>
    <row r="480" customFormat="false" ht="15" hidden="false" customHeight="false" outlineLevel="0" collapsed="false">
      <c r="C480" s="8"/>
      <c r="K480" s="8"/>
    </row>
    <row r="481" customFormat="false" ht="15" hidden="false" customHeight="false" outlineLevel="0" collapsed="false">
      <c r="C481" s="8"/>
      <c r="K481" s="8"/>
    </row>
    <row r="482" customFormat="false" ht="15" hidden="false" customHeight="false" outlineLevel="0" collapsed="false">
      <c r="C482" s="8"/>
      <c r="K482" s="8"/>
    </row>
    <row r="483" customFormat="false" ht="15" hidden="false" customHeight="false" outlineLevel="0" collapsed="false">
      <c r="C483" s="8"/>
      <c r="K483" s="8"/>
    </row>
    <row r="484" customFormat="false" ht="15" hidden="false" customHeight="false" outlineLevel="0" collapsed="false">
      <c r="C484" s="8"/>
      <c r="K484" s="8"/>
    </row>
    <row r="485" customFormat="false" ht="15" hidden="false" customHeight="false" outlineLevel="0" collapsed="false">
      <c r="C485" s="8"/>
      <c r="K485" s="8"/>
    </row>
    <row r="486" customFormat="false" ht="15" hidden="false" customHeight="false" outlineLevel="0" collapsed="false">
      <c r="C486" s="8"/>
      <c r="K486" s="8"/>
    </row>
    <row r="487" customFormat="false" ht="15" hidden="false" customHeight="false" outlineLevel="0" collapsed="false">
      <c r="C487" s="8"/>
      <c r="K487" s="8"/>
    </row>
    <row r="488" customFormat="false" ht="15" hidden="false" customHeight="false" outlineLevel="0" collapsed="false">
      <c r="C488" s="8"/>
      <c r="K488" s="8"/>
    </row>
    <row r="489" customFormat="false" ht="15" hidden="false" customHeight="false" outlineLevel="0" collapsed="false">
      <c r="C489" s="8"/>
      <c r="K489" s="8"/>
    </row>
    <row r="490" customFormat="false" ht="15" hidden="false" customHeight="false" outlineLevel="0" collapsed="false">
      <c r="C490" s="8"/>
      <c r="K490" s="8"/>
    </row>
    <row r="491" customFormat="false" ht="15" hidden="false" customHeight="false" outlineLevel="0" collapsed="false">
      <c r="C491" s="8"/>
      <c r="K491" s="8"/>
    </row>
    <row r="492" customFormat="false" ht="15" hidden="false" customHeight="false" outlineLevel="0" collapsed="false">
      <c r="C492" s="8"/>
      <c r="K492" s="8"/>
    </row>
    <row r="493" customFormat="false" ht="15" hidden="false" customHeight="false" outlineLevel="0" collapsed="false">
      <c r="C493" s="8"/>
      <c r="K493" s="8"/>
    </row>
    <row r="494" customFormat="false" ht="15" hidden="false" customHeight="false" outlineLevel="0" collapsed="false">
      <c r="C494" s="8"/>
      <c r="K494" s="8"/>
    </row>
    <row r="495" customFormat="false" ht="15" hidden="false" customHeight="false" outlineLevel="0" collapsed="false">
      <c r="C495" s="8"/>
      <c r="K495" s="8"/>
    </row>
    <row r="496" customFormat="false" ht="15" hidden="false" customHeight="false" outlineLevel="0" collapsed="false">
      <c r="C496" s="8"/>
      <c r="K496" s="8"/>
    </row>
    <row r="497" customFormat="false" ht="15" hidden="false" customHeight="false" outlineLevel="0" collapsed="false">
      <c r="C497" s="8"/>
      <c r="K497" s="8"/>
    </row>
    <row r="498" customFormat="false" ht="15" hidden="false" customHeight="false" outlineLevel="0" collapsed="false">
      <c r="C498" s="8"/>
      <c r="K498" s="8"/>
    </row>
    <row r="499" customFormat="false" ht="15" hidden="false" customHeight="false" outlineLevel="0" collapsed="false">
      <c r="C499" s="8"/>
      <c r="K499" s="8"/>
    </row>
    <row r="500" customFormat="false" ht="15" hidden="false" customHeight="false" outlineLevel="0" collapsed="false">
      <c r="C500" s="8"/>
      <c r="K500" s="8"/>
    </row>
    <row r="501" customFormat="false" ht="15" hidden="false" customHeight="false" outlineLevel="0" collapsed="false">
      <c r="C501" s="8"/>
      <c r="K501" s="8"/>
    </row>
    <row r="502" customFormat="false" ht="15" hidden="false" customHeight="false" outlineLevel="0" collapsed="false">
      <c r="C502" s="8"/>
      <c r="K502" s="8"/>
    </row>
    <row r="503" customFormat="false" ht="15" hidden="false" customHeight="false" outlineLevel="0" collapsed="false">
      <c r="C503" s="8"/>
      <c r="K503" s="8"/>
    </row>
    <row r="504" customFormat="false" ht="15" hidden="false" customHeight="false" outlineLevel="0" collapsed="false">
      <c r="C504" s="8"/>
      <c r="K504" s="8"/>
    </row>
    <row r="505" customFormat="false" ht="15" hidden="false" customHeight="false" outlineLevel="0" collapsed="false">
      <c r="C505" s="8"/>
      <c r="K505" s="8"/>
    </row>
    <row r="506" customFormat="false" ht="15" hidden="false" customHeight="false" outlineLevel="0" collapsed="false">
      <c r="C506" s="8"/>
      <c r="K506" s="8"/>
    </row>
    <row r="507" customFormat="false" ht="15" hidden="false" customHeight="false" outlineLevel="0" collapsed="false">
      <c r="C507" s="8"/>
      <c r="K507" s="8"/>
    </row>
    <row r="508" customFormat="false" ht="15" hidden="false" customHeight="false" outlineLevel="0" collapsed="false">
      <c r="C508" s="8"/>
      <c r="K508" s="8"/>
    </row>
    <row r="509" customFormat="false" ht="15" hidden="false" customHeight="false" outlineLevel="0" collapsed="false">
      <c r="C509" s="8"/>
      <c r="K509" s="8"/>
    </row>
    <row r="510" customFormat="false" ht="15" hidden="false" customHeight="false" outlineLevel="0" collapsed="false">
      <c r="C510" s="8"/>
      <c r="K510" s="8"/>
    </row>
    <row r="511" customFormat="false" ht="15" hidden="false" customHeight="false" outlineLevel="0" collapsed="false">
      <c r="C511" s="8"/>
      <c r="K511" s="8"/>
    </row>
    <row r="512" customFormat="false" ht="15" hidden="false" customHeight="false" outlineLevel="0" collapsed="false">
      <c r="C512" s="8"/>
      <c r="K512" s="8"/>
    </row>
    <row r="513" customFormat="false" ht="15" hidden="false" customHeight="false" outlineLevel="0" collapsed="false">
      <c r="C513" s="8"/>
      <c r="K513" s="8"/>
    </row>
    <row r="514" customFormat="false" ht="15" hidden="false" customHeight="false" outlineLevel="0" collapsed="false">
      <c r="C514" s="8"/>
      <c r="K514" s="8"/>
    </row>
    <row r="515" customFormat="false" ht="15" hidden="false" customHeight="false" outlineLevel="0" collapsed="false">
      <c r="C515" s="8"/>
      <c r="K515" s="8"/>
    </row>
    <row r="516" customFormat="false" ht="15" hidden="false" customHeight="false" outlineLevel="0" collapsed="false">
      <c r="C516" s="8"/>
      <c r="K516" s="8"/>
    </row>
    <row r="517" customFormat="false" ht="15" hidden="false" customHeight="false" outlineLevel="0" collapsed="false">
      <c r="C517" s="8"/>
      <c r="K517" s="8"/>
    </row>
    <row r="518" customFormat="false" ht="15" hidden="false" customHeight="false" outlineLevel="0" collapsed="false">
      <c r="C518" s="8"/>
      <c r="K518" s="8"/>
    </row>
    <row r="519" customFormat="false" ht="15" hidden="false" customHeight="false" outlineLevel="0" collapsed="false">
      <c r="C519" s="8"/>
      <c r="K519" s="8"/>
    </row>
    <row r="520" customFormat="false" ht="15" hidden="false" customHeight="false" outlineLevel="0" collapsed="false">
      <c r="C520" s="8"/>
      <c r="K520" s="8"/>
    </row>
    <row r="521" customFormat="false" ht="15" hidden="false" customHeight="false" outlineLevel="0" collapsed="false">
      <c r="C521" s="8"/>
      <c r="K521" s="8"/>
    </row>
    <row r="522" customFormat="false" ht="15" hidden="false" customHeight="false" outlineLevel="0" collapsed="false">
      <c r="C522" s="8"/>
      <c r="K522" s="8"/>
    </row>
    <row r="523" customFormat="false" ht="15" hidden="false" customHeight="false" outlineLevel="0" collapsed="false">
      <c r="C523" s="8"/>
      <c r="K523" s="8"/>
    </row>
    <row r="524" customFormat="false" ht="15" hidden="false" customHeight="false" outlineLevel="0" collapsed="false">
      <c r="C524" s="8"/>
      <c r="K524" s="8"/>
    </row>
    <row r="525" customFormat="false" ht="15" hidden="false" customHeight="false" outlineLevel="0" collapsed="false">
      <c r="C525" s="8"/>
      <c r="K525" s="8"/>
    </row>
    <row r="526" customFormat="false" ht="15" hidden="false" customHeight="false" outlineLevel="0" collapsed="false">
      <c r="C526" s="8"/>
      <c r="K526" s="8"/>
    </row>
    <row r="527" customFormat="false" ht="15" hidden="false" customHeight="false" outlineLevel="0" collapsed="false">
      <c r="C527" s="8"/>
      <c r="K527" s="8"/>
    </row>
    <row r="528" customFormat="false" ht="15" hidden="false" customHeight="false" outlineLevel="0" collapsed="false">
      <c r="C528" s="8"/>
      <c r="K528" s="8"/>
    </row>
    <row r="529" customFormat="false" ht="15" hidden="false" customHeight="false" outlineLevel="0" collapsed="false">
      <c r="C529" s="8"/>
      <c r="K529" s="8"/>
    </row>
    <row r="530" customFormat="false" ht="15" hidden="false" customHeight="false" outlineLevel="0" collapsed="false">
      <c r="C530" s="8"/>
      <c r="K530" s="8"/>
    </row>
    <row r="531" customFormat="false" ht="15" hidden="false" customHeight="false" outlineLevel="0" collapsed="false">
      <c r="C531" s="8"/>
      <c r="K531" s="8"/>
    </row>
    <row r="532" customFormat="false" ht="15" hidden="false" customHeight="false" outlineLevel="0" collapsed="false">
      <c r="C532" s="8"/>
      <c r="K532" s="8"/>
    </row>
    <row r="533" customFormat="false" ht="15" hidden="false" customHeight="false" outlineLevel="0" collapsed="false">
      <c r="C533" s="8"/>
      <c r="K533" s="8"/>
    </row>
    <row r="534" customFormat="false" ht="15" hidden="false" customHeight="false" outlineLevel="0" collapsed="false">
      <c r="C534" s="8"/>
      <c r="K534" s="8"/>
    </row>
    <row r="535" customFormat="false" ht="15" hidden="false" customHeight="false" outlineLevel="0" collapsed="false">
      <c r="C535" s="8"/>
      <c r="K535" s="8"/>
    </row>
    <row r="536" customFormat="false" ht="15" hidden="false" customHeight="false" outlineLevel="0" collapsed="false">
      <c r="C536" s="8"/>
      <c r="K536" s="8"/>
    </row>
    <row r="537" customFormat="false" ht="15" hidden="false" customHeight="false" outlineLevel="0" collapsed="false">
      <c r="C537" s="8"/>
      <c r="K537" s="8"/>
    </row>
    <row r="538" customFormat="false" ht="15" hidden="false" customHeight="false" outlineLevel="0" collapsed="false">
      <c r="C538" s="8"/>
      <c r="K538" s="8"/>
    </row>
    <row r="539" customFormat="false" ht="15" hidden="false" customHeight="false" outlineLevel="0" collapsed="false">
      <c r="C539" s="8"/>
      <c r="K539" s="8"/>
    </row>
    <row r="540" customFormat="false" ht="15" hidden="false" customHeight="false" outlineLevel="0" collapsed="false">
      <c r="C540" s="8"/>
      <c r="K540" s="8"/>
    </row>
    <row r="541" customFormat="false" ht="15" hidden="false" customHeight="false" outlineLevel="0" collapsed="false">
      <c r="C541" s="8"/>
      <c r="K541" s="8"/>
    </row>
    <row r="542" customFormat="false" ht="15" hidden="false" customHeight="false" outlineLevel="0" collapsed="false">
      <c r="C542" s="8"/>
      <c r="K542" s="8"/>
    </row>
    <row r="543" customFormat="false" ht="15" hidden="false" customHeight="false" outlineLevel="0" collapsed="false">
      <c r="C543" s="8"/>
      <c r="K543" s="8"/>
    </row>
    <row r="544" customFormat="false" ht="15" hidden="false" customHeight="false" outlineLevel="0" collapsed="false">
      <c r="C544" s="8"/>
      <c r="K544" s="8"/>
    </row>
    <row r="545" customFormat="false" ht="15" hidden="false" customHeight="false" outlineLevel="0" collapsed="false">
      <c r="C545" s="8"/>
      <c r="K545" s="8"/>
    </row>
    <row r="546" customFormat="false" ht="15" hidden="false" customHeight="false" outlineLevel="0" collapsed="false">
      <c r="C546" s="8"/>
      <c r="K546" s="8"/>
    </row>
    <row r="547" customFormat="false" ht="15" hidden="false" customHeight="false" outlineLevel="0" collapsed="false">
      <c r="C547" s="8"/>
      <c r="K547" s="8"/>
    </row>
    <row r="548" customFormat="false" ht="15" hidden="false" customHeight="false" outlineLevel="0" collapsed="false">
      <c r="C548" s="8"/>
      <c r="K548" s="8"/>
    </row>
    <row r="549" customFormat="false" ht="15" hidden="false" customHeight="false" outlineLevel="0" collapsed="false">
      <c r="C549" s="8"/>
      <c r="K549" s="8"/>
    </row>
    <row r="550" customFormat="false" ht="15" hidden="false" customHeight="false" outlineLevel="0" collapsed="false">
      <c r="C550" s="8"/>
      <c r="K550" s="8"/>
    </row>
    <row r="551" customFormat="false" ht="15" hidden="false" customHeight="false" outlineLevel="0" collapsed="false">
      <c r="C551" s="8"/>
      <c r="K551" s="8"/>
    </row>
    <row r="552" customFormat="false" ht="15" hidden="false" customHeight="false" outlineLevel="0" collapsed="false">
      <c r="C552" s="8"/>
      <c r="K552" s="8"/>
    </row>
    <row r="553" customFormat="false" ht="15" hidden="false" customHeight="false" outlineLevel="0" collapsed="false">
      <c r="C553" s="8"/>
      <c r="K553" s="8"/>
    </row>
    <row r="554" customFormat="false" ht="15" hidden="false" customHeight="false" outlineLevel="0" collapsed="false">
      <c r="C554" s="8"/>
      <c r="K554" s="8"/>
    </row>
    <row r="555" customFormat="false" ht="15" hidden="false" customHeight="false" outlineLevel="0" collapsed="false">
      <c r="C555" s="8"/>
      <c r="K555" s="8"/>
    </row>
    <row r="556" customFormat="false" ht="15" hidden="false" customHeight="false" outlineLevel="0" collapsed="false">
      <c r="C556" s="8"/>
      <c r="K556" s="8"/>
    </row>
    <row r="557" customFormat="false" ht="15" hidden="false" customHeight="false" outlineLevel="0" collapsed="false">
      <c r="C557" s="8"/>
      <c r="K557" s="8"/>
    </row>
    <row r="558" customFormat="false" ht="15" hidden="false" customHeight="false" outlineLevel="0" collapsed="false">
      <c r="C558" s="8"/>
      <c r="K558" s="8"/>
    </row>
    <row r="559" customFormat="false" ht="15" hidden="false" customHeight="false" outlineLevel="0" collapsed="false">
      <c r="C559" s="8"/>
      <c r="K559" s="8"/>
    </row>
    <row r="560" customFormat="false" ht="15" hidden="false" customHeight="false" outlineLevel="0" collapsed="false">
      <c r="C560" s="8"/>
      <c r="K560" s="8"/>
    </row>
    <row r="561" customFormat="false" ht="15" hidden="false" customHeight="false" outlineLevel="0" collapsed="false">
      <c r="C561" s="8"/>
      <c r="K561" s="8"/>
    </row>
    <row r="562" customFormat="false" ht="15" hidden="false" customHeight="false" outlineLevel="0" collapsed="false">
      <c r="C562" s="8"/>
      <c r="K562" s="8"/>
    </row>
    <row r="563" customFormat="false" ht="15" hidden="false" customHeight="false" outlineLevel="0" collapsed="false">
      <c r="C563" s="8"/>
      <c r="K563" s="8"/>
    </row>
    <row r="564" customFormat="false" ht="15" hidden="false" customHeight="false" outlineLevel="0" collapsed="false">
      <c r="C564" s="8"/>
      <c r="K564" s="8"/>
    </row>
    <row r="565" customFormat="false" ht="15" hidden="false" customHeight="false" outlineLevel="0" collapsed="false">
      <c r="C565" s="8"/>
      <c r="K565" s="8"/>
    </row>
    <row r="566" customFormat="false" ht="15" hidden="false" customHeight="false" outlineLevel="0" collapsed="false">
      <c r="C566" s="8"/>
      <c r="K566" s="8"/>
    </row>
    <row r="567" customFormat="false" ht="15" hidden="false" customHeight="false" outlineLevel="0" collapsed="false">
      <c r="C567" s="8"/>
      <c r="K567" s="8"/>
    </row>
    <row r="568" customFormat="false" ht="15" hidden="false" customHeight="false" outlineLevel="0" collapsed="false">
      <c r="C568" s="8"/>
      <c r="K568" s="8"/>
    </row>
    <row r="569" customFormat="false" ht="15" hidden="false" customHeight="false" outlineLevel="0" collapsed="false">
      <c r="C569" s="8"/>
      <c r="K569" s="8"/>
    </row>
    <row r="570" customFormat="false" ht="15" hidden="false" customHeight="false" outlineLevel="0" collapsed="false">
      <c r="C570" s="8"/>
      <c r="K570" s="8"/>
    </row>
    <row r="571" customFormat="false" ht="15" hidden="false" customHeight="false" outlineLevel="0" collapsed="false">
      <c r="C571" s="8"/>
      <c r="K571" s="8"/>
    </row>
    <row r="572" customFormat="false" ht="15" hidden="false" customHeight="false" outlineLevel="0" collapsed="false">
      <c r="C572" s="8"/>
      <c r="K572" s="8"/>
    </row>
    <row r="573" customFormat="false" ht="15" hidden="false" customHeight="false" outlineLevel="0" collapsed="false">
      <c r="C573" s="8"/>
      <c r="K573" s="8"/>
    </row>
    <row r="574" customFormat="false" ht="15" hidden="false" customHeight="false" outlineLevel="0" collapsed="false">
      <c r="C574" s="8"/>
      <c r="K574" s="8"/>
    </row>
    <row r="575" customFormat="false" ht="15" hidden="false" customHeight="false" outlineLevel="0" collapsed="false">
      <c r="C575" s="8"/>
      <c r="K575" s="8"/>
    </row>
    <row r="576" customFormat="false" ht="15" hidden="false" customHeight="false" outlineLevel="0" collapsed="false">
      <c r="C576" s="8"/>
      <c r="K576" s="8"/>
    </row>
    <row r="577" customFormat="false" ht="15" hidden="false" customHeight="false" outlineLevel="0" collapsed="false">
      <c r="C577" s="8"/>
      <c r="K577" s="8"/>
    </row>
    <row r="578" customFormat="false" ht="15" hidden="false" customHeight="false" outlineLevel="0" collapsed="false">
      <c r="C578" s="8"/>
      <c r="K578" s="8"/>
    </row>
    <row r="579" customFormat="false" ht="15" hidden="false" customHeight="false" outlineLevel="0" collapsed="false">
      <c r="C579" s="8"/>
      <c r="K579" s="8"/>
    </row>
    <row r="580" customFormat="false" ht="15" hidden="false" customHeight="false" outlineLevel="0" collapsed="false">
      <c r="C580" s="8"/>
      <c r="K580" s="8"/>
    </row>
    <row r="581" customFormat="false" ht="15" hidden="false" customHeight="false" outlineLevel="0" collapsed="false">
      <c r="C581" s="8"/>
      <c r="K581" s="8"/>
    </row>
    <row r="582" customFormat="false" ht="15" hidden="false" customHeight="false" outlineLevel="0" collapsed="false">
      <c r="C582" s="8"/>
      <c r="K582" s="8"/>
    </row>
    <row r="583" customFormat="false" ht="15" hidden="false" customHeight="false" outlineLevel="0" collapsed="false">
      <c r="C583" s="8"/>
      <c r="K583" s="8"/>
    </row>
    <row r="584" customFormat="false" ht="15" hidden="false" customHeight="false" outlineLevel="0" collapsed="false">
      <c r="C584" s="8"/>
      <c r="K584" s="8"/>
    </row>
    <row r="585" customFormat="false" ht="15" hidden="false" customHeight="false" outlineLevel="0" collapsed="false">
      <c r="C585" s="8"/>
      <c r="K585" s="8"/>
    </row>
    <row r="586" customFormat="false" ht="15" hidden="false" customHeight="false" outlineLevel="0" collapsed="false">
      <c r="C586" s="8"/>
      <c r="K586" s="8"/>
    </row>
    <row r="587" customFormat="false" ht="15" hidden="false" customHeight="false" outlineLevel="0" collapsed="false">
      <c r="C587" s="8"/>
      <c r="K587" s="8"/>
    </row>
    <row r="588" customFormat="false" ht="15" hidden="false" customHeight="false" outlineLevel="0" collapsed="false">
      <c r="C588" s="8"/>
      <c r="K588" s="8"/>
    </row>
    <row r="589" customFormat="false" ht="15" hidden="false" customHeight="false" outlineLevel="0" collapsed="false">
      <c r="C589" s="8"/>
      <c r="K589" s="8"/>
    </row>
    <row r="590" customFormat="false" ht="15" hidden="false" customHeight="false" outlineLevel="0" collapsed="false">
      <c r="C590" s="8"/>
      <c r="K590" s="8"/>
    </row>
    <row r="591" customFormat="false" ht="15" hidden="false" customHeight="false" outlineLevel="0" collapsed="false">
      <c r="C591" s="8"/>
      <c r="K591" s="8"/>
    </row>
    <row r="592" customFormat="false" ht="15" hidden="false" customHeight="false" outlineLevel="0" collapsed="false">
      <c r="C592" s="8"/>
      <c r="K592" s="8"/>
    </row>
    <row r="593" customFormat="false" ht="15" hidden="false" customHeight="false" outlineLevel="0" collapsed="false">
      <c r="C593" s="8"/>
      <c r="K593" s="8"/>
    </row>
    <row r="594" customFormat="false" ht="15" hidden="false" customHeight="false" outlineLevel="0" collapsed="false">
      <c r="C594" s="8"/>
      <c r="K594" s="8"/>
    </row>
    <row r="595" customFormat="false" ht="15" hidden="false" customHeight="false" outlineLevel="0" collapsed="false">
      <c r="C595" s="8"/>
      <c r="K595" s="8"/>
    </row>
    <row r="596" customFormat="false" ht="15" hidden="false" customHeight="false" outlineLevel="0" collapsed="false">
      <c r="C596" s="8"/>
      <c r="K596" s="8"/>
    </row>
    <row r="597" customFormat="false" ht="15" hidden="false" customHeight="false" outlineLevel="0" collapsed="false">
      <c r="C597" s="8"/>
      <c r="K597" s="8"/>
    </row>
    <row r="598" customFormat="false" ht="15" hidden="false" customHeight="false" outlineLevel="0" collapsed="false">
      <c r="C598" s="8"/>
      <c r="K598" s="8"/>
    </row>
    <row r="599" customFormat="false" ht="15" hidden="false" customHeight="false" outlineLevel="0" collapsed="false">
      <c r="C599" s="8"/>
      <c r="K599" s="8"/>
    </row>
    <row r="600" customFormat="false" ht="15" hidden="false" customHeight="false" outlineLevel="0" collapsed="false">
      <c r="C600" s="8"/>
      <c r="K600" s="8"/>
    </row>
    <row r="601" customFormat="false" ht="15" hidden="false" customHeight="false" outlineLevel="0" collapsed="false">
      <c r="C601" s="8"/>
      <c r="K601" s="8"/>
    </row>
    <row r="602" customFormat="false" ht="15" hidden="false" customHeight="false" outlineLevel="0" collapsed="false">
      <c r="C602" s="8"/>
      <c r="K602" s="8"/>
    </row>
    <row r="603" customFormat="false" ht="15" hidden="false" customHeight="false" outlineLevel="0" collapsed="false">
      <c r="C603" s="8"/>
      <c r="K603" s="8"/>
    </row>
    <row r="604" customFormat="false" ht="15" hidden="false" customHeight="false" outlineLevel="0" collapsed="false">
      <c r="C604" s="8"/>
      <c r="K604" s="8"/>
    </row>
    <row r="605" customFormat="false" ht="15" hidden="false" customHeight="false" outlineLevel="0" collapsed="false">
      <c r="C605" s="8"/>
      <c r="K605" s="8"/>
    </row>
    <row r="606" customFormat="false" ht="15" hidden="false" customHeight="false" outlineLevel="0" collapsed="false">
      <c r="C606" s="8"/>
      <c r="K606" s="8"/>
    </row>
    <row r="607" customFormat="false" ht="15" hidden="false" customHeight="false" outlineLevel="0" collapsed="false">
      <c r="C607" s="8"/>
      <c r="K607" s="8"/>
    </row>
    <row r="608" customFormat="false" ht="15" hidden="false" customHeight="false" outlineLevel="0" collapsed="false">
      <c r="C608" s="8"/>
      <c r="K608" s="8"/>
    </row>
    <row r="609" customFormat="false" ht="15" hidden="false" customHeight="false" outlineLevel="0" collapsed="false">
      <c r="C609" s="8"/>
      <c r="K609" s="8"/>
    </row>
    <row r="610" customFormat="false" ht="15" hidden="false" customHeight="false" outlineLevel="0" collapsed="false">
      <c r="C610" s="8"/>
      <c r="K610" s="8"/>
    </row>
    <row r="611" customFormat="false" ht="15" hidden="false" customHeight="false" outlineLevel="0" collapsed="false">
      <c r="C611" s="8"/>
      <c r="K611" s="8"/>
    </row>
    <row r="612" customFormat="false" ht="15" hidden="false" customHeight="false" outlineLevel="0" collapsed="false">
      <c r="C612" s="8"/>
      <c r="K612" s="8"/>
    </row>
    <row r="613" customFormat="false" ht="15" hidden="false" customHeight="false" outlineLevel="0" collapsed="false">
      <c r="C613" s="8"/>
      <c r="K613" s="8"/>
    </row>
    <row r="614" customFormat="false" ht="15" hidden="false" customHeight="false" outlineLevel="0" collapsed="false">
      <c r="C614" s="8"/>
      <c r="K614" s="8"/>
    </row>
    <row r="615" customFormat="false" ht="15" hidden="false" customHeight="false" outlineLevel="0" collapsed="false">
      <c r="C615" s="8"/>
      <c r="K615" s="8"/>
    </row>
    <row r="616" customFormat="false" ht="15" hidden="false" customHeight="false" outlineLevel="0" collapsed="false">
      <c r="C616" s="8"/>
      <c r="K616" s="8"/>
    </row>
    <row r="617" customFormat="false" ht="15" hidden="false" customHeight="false" outlineLevel="0" collapsed="false">
      <c r="C617" s="8"/>
      <c r="K617" s="8"/>
    </row>
    <row r="618" customFormat="false" ht="15" hidden="false" customHeight="false" outlineLevel="0" collapsed="false">
      <c r="C618" s="8"/>
      <c r="K618" s="8"/>
    </row>
    <row r="619" customFormat="false" ht="15" hidden="false" customHeight="false" outlineLevel="0" collapsed="false">
      <c r="C619" s="8"/>
      <c r="K619" s="8"/>
    </row>
    <row r="620" customFormat="false" ht="15" hidden="false" customHeight="false" outlineLevel="0" collapsed="false">
      <c r="C620" s="8"/>
      <c r="K620" s="8"/>
    </row>
    <row r="621" customFormat="false" ht="15" hidden="false" customHeight="false" outlineLevel="0" collapsed="false">
      <c r="C621" s="8"/>
      <c r="K621" s="8"/>
    </row>
    <row r="622" customFormat="false" ht="15" hidden="false" customHeight="false" outlineLevel="0" collapsed="false">
      <c r="C622" s="8"/>
      <c r="K622" s="8"/>
    </row>
    <row r="623" customFormat="false" ht="15" hidden="false" customHeight="false" outlineLevel="0" collapsed="false">
      <c r="C623" s="8"/>
      <c r="K623" s="8"/>
    </row>
    <row r="624" customFormat="false" ht="15" hidden="false" customHeight="false" outlineLevel="0" collapsed="false">
      <c r="C624" s="8"/>
      <c r="K624" s="8"/>
    </row>
    <row r="625" customFormat="false" ht="15" hidden="false" customHeight="false" outlineLevel="0" collapsed="false">
      <c r="C625" s="8"/>
      <c r="K625" s="8"/>
    </row>
    <row r="626" customFormat="false" ht="15" hidden="false" customHeight="false" outlineLevel="0" collapsed="false">
      <c r="C626" s="8"/>
      <c r="K626" s="8"/>
    </row>
    <row r="627" customFormat="false" ht="15" hidden="false" customHeight="false" outlineLevel="0" collapsed="false">
      <c r="C627" s="8"/>
      <c r="K627" s="8"/>
    </row>
    <row r="628" customFormat="false" ht="15" hidden="false" customHeight="false" outlineLevel="0" collapsed="false">
      <c r="C628" s="8"/>
      <c r="K628" s="8"/>
    </row>
    <row r="629" customFormat="false" ht="15" hidden="false" customHeight="false" outlineLevel="0" collapsed="false">
      <c r="C629" s="8"/>
      <c r="K629" s="8"/>
    </row>
    <row r="630" customFormat="false" ht="15" hidden="false" customHeight="false" outlineLevel="0" collapsed="false">
      <c r="C630" s="8"/>
      <c r="K630" s="8"/>
    </row>
    <row r="631" customFormat="false" ht="15" hidden="false" customHeight="false" outlineLevel="0" collapsed="false">
      <c r="C631" s="8"/>
      <c r="K631" s="8"/>
    </row>
    <row r="632" customFormat="false" ht="15" hidden="false" customHeight="false" outlineLevel="0" collapsed="false">
      <c r="C632" s="8"/>
      <c r="K632" s="8"/>
    </row>
    <row r="633" customFormat="false" ht="15" hidden="false" customHeight="false" outlineLevel="0" collapsed="false">
      <c r="C633" s="8"/>
      <c r="K633" s="8"/>
    </row>
    <row r="634" customFormat="false" ht="15" hidden="false" customHeight="false" outlineLevel="0" collapsed="false">
      <c r="C634" s="8"/>
      <c r="K634" s="8"/>
    </row>
    <row r="635" customFormat="false" ht="15" hidden="false" customHeight="false" outlineLevel="0" collapsed="false">
      <c r="C635" s="8"/>
      <c r="K635" s="8"/>
    </row>
    <row r="636" customFormat="false" ht="15" hidden="false" customHeight="false" outlineLevel="0" collapsed="false">
      <c r="C636" s="8"/>
      <c r="K636" s="8"/>
    </row>
    <row r="637" customFormat="false" ht="15" hidden="false" customHeight="false" outlineLevel="0" collapsed="false">
      <c r="C637" s="8"/>
      <c r="K637" s="8"/>
    </row>
    <row r="638" customFormat="false" ht="15" hidden="false" customHeight="false" outlineLevel="0" collapsed="false">
      <c r="C638" s="8"/>
      <c r="K638" s="8"/>
    </row>
    <row r="639" customFormat="false" ht="15" hidden="false" customHeight="false" outlineLevel="0" collapsed="false">
      <c r="C639" s="8"/>
      <c r="K639" s="8"/>
    </row>
    <row r="640" customFormat="false" ht="15" hidden="false" customHeight="false" outlineLevel="0" collapsed="false">
      <c r="C640" s="8"/>
      <c r="K640" s="8"/>
    </row>
    <row r="641" customFormat="false" ht="15" hidden="false" customHeight="false" outlineLevel="0" collapsed="false">
      <c r="C641" s="8"/>
      <c r="K641" s="8"/>
    </row>
    <row r="642" customFormat="false" ht="15" hidden="false" customHeight="false" outlineLevel="0" collapsed="false">
      <c r="C642" s="8"/>
      <c r="K642" s="8"/>
    </row>
    <row r="643" customFormat="false" ht="15" hidden="false" customHeight="false" outlineLevel="0" collapsed="false">
      <c r="C643" s="8"/>
      <c r="K643" s="8"/>
    </row>
    <row r="644" customFormat="false" ht="15" hidden="false" customHeight="false" outlineLevel="0" collapsed="false">
      <c r="C644" s="8"/>
      <c r="K644" s="8"/>
    </row>
    <row r="645" customFormat="false" ht="15" hidden="false" customHeight="false" outlineLevel="0" collapsed="false">
      <c r="C645" s="8"/>
      <c r="K645" s="8"/>
    </row>
    <row r="646" customFormat="false" ht="15" hidden="false" customHeight="false" outlineLevel="0" collapsed="false">
      <c r="C646" s="8"/>
      <c r="K646" s="8"/>
    </row>
    <row r="647" customFormat="false" ht="15" hidden="false" customHeight="false" outlineLevel="0" collapsed="false">
      <c r="C647" s="8"/>
      <c r="K647" s="8"/>
    </row>
    <row r="648" customFormat="false" ht="15" hidden="false" customHeight="false" outlineLevel="0" collapsed="false">
      <c r="C648" s="8"/>
      <c r="K648" s="8"/>
    </row>
    <row r="649" customFormat="false" ht="15" hidden="false" customHeight="false" outlineLevel="0" collapsed="false">
      <c r="C649" s="8"/>
      <c r="K649" s="8"/>
    </row>
    <row r="650" customFormat="false" ht="15" hidden="false" customHeight="false" outlineLevel="0" collapsed="false">
      <c r="C650" s="8"/>
      <c r="K650" s="8"/>
    </row>
    <row r="651" customFormat="false" ht="15" hidden="false" customHeight="false" outlineLevel="0" collapsed="false">
      <c r="C651" s="8"/>
      <c r="K651" s="8"/>
    </row>
    <row r="652" customFormat="false" ht="15" hidden="false" customHeight="false" outlineLevel="0" collapsed="false">
      <c r="C652" s="8"/>
      <c r="K652" s="8"/>
    </row>
    <row r="653" customFormat="false" ht="15" hidden="false" customHeight="false" outlineLevel="0" collapsed="false">
      <c r="C653" s="8"/>
      <c r="K653" s="8"/>
    </row>
    <row r="654" customFormat="false" ht="15" hidden="false" customHeight="false" outlineLevel="0" collapsed="false">
      <c r="C654" s="8"/>
      <c r="K654" s="8"/>
    </row>
    <row r="655" customFormat="false" ht="15" hidden="false" customHeight="false" outlineLevel="0" collapsed="false">
      <c r="C655" s="8"/>
      <c r="K655" s="8"/>
    </row>
    <row r="656" customFormat="false" ht="15" hidden="false" customHeight="false" outlineLevel="0" collapsed="false">
      <c r="C656" s="8"/>
      <c r="K656" s="8"/>
    </row>
    <row r="657" customFormat="false" ht="15" hidden="false" customHeight="false" outlineLevel="0" collapsed="false">
      <c r="C657" s="8"/>
      <c r="K657" s="8"/>
    </row>
    <row r="658" customFormat="false" ht="15" hidden="false" customHeight="false" outlineLevel="0" collapsed="false">
      <c r="C658" s="8"/>
      <c r="K658" s="8"/>
    </row>
    <row r="659" customFormat="false" ht="15" hidden="false" customHeight="false" outlineLevel="0" collapsed="false">
      <c r="C659" s="8"/>
      <c r="K659" s="8"/>
    </row>
    <row r="660" customFormat="false" ht="15" hidden="false" customHeight="false" outlineLevel="0" collapsed="false">
      <c r="C660" s="8"/>
      <c r="K660" s="8"/>
    </row>
    <row r="661" customFormat="false" ht="15" hidden="false" customHeight="false" outlineLevel="0" collapsed="false">
      <c r="C661" s="8"/>
      <c r="K661" s="8"/>
    </row>
    <row r="662" customFormat="false" ht="15" hidden="false" customHeight="false" outlineLevel="0" collapsed="false">
      <c r="C662" s="8"/>
      <c r="K662" s="8"/>
    </row>
    <row r="663" customFormat="false" ht="15" hidden="false" customHeight="false" outlineLevel="0" collapsed="false">
      <c r="C663" s="8"/>
      <c r="K663" s="8"/>
    </row>
    <row r="664" customFormat="false" ht="15" hidden="false" customHeight="false" outlineLevel="0" collapsed="false">
      <c r="C664" s="8"/>
      <c r="K664" s="8"/>
    </row>
    <row r="665" customFormat="false" ht="15" hidden="false" customHeight="false" outlineLevel="0" collapsed="false">
      <c r="C665" s="8"/>
      <c r="K665" s="8"/>
    </row>
    <row r="666" customFormat="false" ht="15" hidden="false" customHeight="false" outlineLevel="0" collapsed="false">
      <c r="C666" s="8"/>
      <c r="K666" s="8"/>
    </row>
    <row r="667" customFormat="false" ht="15" hidden="false" customHeight="false" outlineLevel="0" collapsed="false">
      <c r="C667" s="8"/>
      <c r="K667" s="8"/>
    </row>
    <row r="668" customFormat="false" ht="15" hidden="false" customHeight="false" outlineLevel="0" collapsed="false">
      <c r="C668" s="8"/>
      <c r="K668" s="8"/>
    </row>
    <row r="669" customFormat="false" ht="15" hidden="false" customHeight="false" outlineLevel="0" collapsed="false">
      <c r="C669" s="8"/>
      <c r="K669" s="8"/>
    </row>
    <row r="670" customFormat="false" ht="15" hidden="false" customHeight="false" outlineLevel="0" collapsed="false">
      <c r="C670" s="8"/>
      <c r="K670" s="8"/>
    </row>
    <row r="671" customFormat="false" ht="15" hidden="false" customHeight="false" outlineLevel="0" collapsed="false">
      <c r="C671" s="8"/>
      <c r="K671" s="8"/>
    </row>
    <row r="672" customFormat="false" ht="15" hidden="false" customHeight="false" outlineLevel="0" collapsed="false">
      <c r="C672" s="8"/>
      <c r="K672" s="8"/>
    </row>
    <row r="673" customFormat="false" ht="15" hidden="false" customHeight="false" outlineLevel="0" collapsed="false">
      <c r="C673" s="8"/>
      <c r="K673" s="8"/>
    </row>
    <row r="674" customFormat="false" ht="15" hidden="false" customHeight="false" outlineLevel="0" collapsed="false">
      <c r="C674" s="8"/>
      <c r="K674" s="8"/>
    </row>
    <row r="675" customFormat="false" ht="15" hidden="false" customHeight="false" outlineLevel="0" collapsed="false">
      <c r="C675" s="8"/>
      <c r="K675" s="8"/>
    </row>
    <row r="676" customFormat="false" ht="15" hidden="false" customHeight="false" outlineLevel="0" collapsed="false">
      <c r="C676" s="8"/>
      <c r="K676" s="8"/>
    </row>
    <row r="677" customFormat="false" ht="15" hidden="false" customHeight="false" outlineLevel="0" collapsed="false">
      <c r="C677" s="8"/>
      <c r="K677" s="8"/>
    </row>
    <row r="678" customFormat="false" ht="15" hidden="false" customHeight="false" outlineLevel="0" collapsed="false">
      <c r="C678" s="8"/>
      <c r="K678" s="8"/>
    </row>
    <row r="679" customFormat="false" ht="15" hidden="false" customHeight="false" outlineLevel="0" collapsed="false">
      <c r="C679" s="8"/>
      <c r="K679" s="8"/>
    </row>
    <row r="680" customFormat="false" ht="15" hidden="false" customHeight="false" outlineLevel="0" collapsed="false">
      <c r="C680" s="8"/>
      <c r="K680" s="8"/>
    </row>
    <row r="681" customFormat="false" ht="15" hidden="false" customHeight="false" outlineLevel="0" collapsed="false">
      <c r="C681" s="8"/>
      <c r="K681" s="8"/>
    </row>
    <row r="682" customFormat="false" ht="15" hidden="false" customHeight="false" outlineLevel="0" collapsed="false">
      <c r="C682" s="8"/>
      <c r="K682" s="8"/>
    </row>
    <row r="683" customFormat="false" ht="15" hidden="false" customHeight="false" outlineLevel="0" collapsed="false">
      <c r="C683" s="8"/>
      <c r="K683" s="8"/>
    </row>
    <row r="684" customFormat="false" ht="15" hidden="false" customHeight="false" outlineLevel="0" collapsed="false">
      <c r="C684" s="8"/>
      <c r="K684" s="8"/>
    </row>
    <row r="685" customFormat="false" ht="15" hidden="false" customHeight="false" outlineLevel="0" collapsed="false">
      <c r="C685" s="8"/>
      <c r="K685" s="8"/>
    </row>
    <row r="686" customFormat="false" ht="15" hidden="false" customHeight="false" outlineLevel="0" collapsed="false">
      <c r="C686" s="8"/>
      <c r="K686" s="8"/>
    </row>
    <row r="687" customFormat="false" ht="15" hidden="false" customHeight="false" outlineLevel="0" collapsed="false">
      <c r="C687" s="8"/>
      <c r="K687" s="8"/>
    </row>
    <row r="688" customFormat="false" ht="15" hidden="false" customHeight="false" outlineLevel="0" collapsed="false">
      <c r="C688" s="8"/>
      <c r="K688" s="8"/>
    </row>
    <row r="689" customFormat="false" ht="15" hidden="false" customHeight="false" outlineLevel="0" collapsed="false">
      <c r="C689" s="8"/>
      <c r="K689" s="8"/>
    </row>
    <row r="690" customFormat="false" ht="15" hidden="false" customHeight="false" outlineLevel="0" collapsed="false">
      <c r="C690" s="8"/>
      <c r="K690" s="8"/>
    </row>
    <row r="691" customFormat="false" ht="15" hidden="false" customHeight="false" outlineLevel="0" collapsed="false">
      <c r="C691" s="8"/>
      <c r="K691" s="8"/>
    </row>
    <row r="692" customFormat="false" ht="15" hidden="false" customHeight="false" outlineLevel="0" collapsed="false">
      <c r="C692" s="8"/>
      <c r="K692" s="8"/>
    </row>
    <row r="693" customFormat="false" ht="15" hidden="false" customHeight="false" outlineLevel="0" collapsed="false">
      <c r="C693" s="8"/>
      <c r="K693" s="8"/>
    </row>
    <row r="694" customFormat="false" ht="15" hidden="false" customHeight="false" outlineLevel="0" collapsed="false">
      <c r="C694" s="8"/>
      <c r="K694" s="8"/>
    </row>
    <row r="695" customFormat="false" ht="15" hidden="false" customHeight="false" outlineLevel="0" collapsed="false">
      <c r="C695" s="8"/>
      <c r="K695" s="8"/>
    </row>
    <row r="696" customFormat="false" ht="15" hidden="false" customHeight="false" outlineLevel="0" collapsed="false">
      <c r="C696" s="8"/>
      <c r="K696" s="8"/>
    </row>
    <row r="697" customFormat="false" ht="15" hidden="false" customHeight="false" outlineLevel="0" collapsed="false">
      <c r="C697" s="8"/>
      <c r="K697" s="8"/>
    </row>
    <row r="698" customFormat="false" ht="15" hidden="false" customHeight="false" outlineLevel="0" collapsed="false">
      <c r="C698" s="8"/>
      <c r="K698" s="8"/>
    </row>
    <row r="699" customFormat="false" ht="15" hidden="false" customHeight="false" outlineLevel="0" collapsed="false">
      <c r="C699" s="8"/>
      <c r="K699" s="8"/>
    </row>
    <row r="700" customFormat="false" ht="15" hidden="false" customHeight="false" outlineLevel="0" collapsed="false">
      <c r="C700" s="8"/>
      <c r="K700" s="8"/>
    </row>
    <row r="701" customFormat="false" ht="15" hidden="false" customHeight="false" outlineLevel="0" collapsed="false">
      <c r="C701" s="8"/>
      <c r="K701" s="8"/>
    </row>
    <row r="702" customFormat="false" ht="15" hidden="false" customHeight="false" outlineLevel="0" collapsed="false">
      <c r="C702" s="8"/>
      <c r="K702" s="8"/>
    </row>
    <row r="703" customFormat="false" ht="15" hidden="false" customHeight="false" outlineLevel="0" collapsed="false">
      <c r="C703" s="8"/>
      <c r="K703" s="8"/>
    </row>
    <row r="704" customFormat="false" ht="15" hidden="false" customHeight="false" outlineLevel="0" collapsed="false">
      <c r="C704" s="8"/>
      <c r="K704" s="8"/>
    </row>
    <row r="705" customFormat="false" ht="15" hidden="false" customHeight="false" outlineLevel="0" collapsed="false">
      <c r="C705" s="8"/>
      <c r="K705" s="8"/>
    </row>
    <row r="706" customFormat="false" ht="15" hidden="false" customHeight="false" outlineLevel="0" collapsed="false">
      <c r="C706" s="8"/>
      <c r="K706" s="8"/>
    </row>
    <row r="707" customFormat="false" ht="15" hidden="false" customHeight="false" outlineLevel="0" collapsed="false">
      <c r="C707" s="8"/>
      <c r="K707" s="8"/>
    </row>
    <row r="708" customFormat="false" ht="15" hidden="false" customHeight="false" outlineLevel="0" collapsed="false">
      <c r="C708" s="8"/>
      <c r="K708" s="8"/>
    </row>
    <row r="709" customFormat="false" ht="15" hidden="false" customHeight="false" outlineLevel="0" collapsed="false">
      <c r="C709" s="8"/>
      <c r="K709" s="8"/>
    </row>
    <row r="710" customFormat="false" ht="15" hidden="false" customHeight="false" outlineLevel="0" collapsed="false">
      <c r="C710" s="8"/>
      <c r="K710" s="8"/>
    </row>
    <row r="711" customFormat="false" ht="15" hidden="false" customHeight="false" outlineLevel="0" collapsed="false">
      <c r="C711" s="8"/>
      <c r="K711" s="8"/>
    </row>
    <row r="712" customFormat="false" ht="15" hidden="false" customHeight="false" outlineLevel="0" collapsed="false">
      <c r="C712" s="8"/>
      <c r="K712" s="8"/>
    </row>
    <row r="713" customFormat="false" ht="15" hidden="false" customHeight="false" outlineLevel="0" collapsed="false">
      <c r="C713" s="8"/>
      <c r="K713" s="8"/>
    </row>
    <row r="714" customFormat="false" ht="15" hidden="false" customHeight="false" outlineLevel="0" collapsed="false">
      <c r="C714" s="8"/>
      <c r="K714" s="8"/>
    </row>
    <row r="715" customFormat="false" ht="15" hidden="false" customHeight="false" outlineLevel="0" collapsed="false">
      <c r="C715" s="8"/>
      <c r="K715" s="8"/>
    </row>
    <row r="716" customFormat="false" ht="15" hidden="false" customHeight="false" outlineLevel="0" collapsed="false">
      <c r="C716" s="8"/>
      <c r="K716" s="8"/>
    </row>
    <row r="717" customFormat="false" ht="15" hidden="false" customHeight="false" outlineLevel="0" collapsed="false">
      <c r="C717" s="8"/>
      <c r="K717" s="8"/>
    </row>
    <row r="718" customFormat="false" ht="15" hidden="false" customHeight="false" outlineLevel="0" collapsed="false">
      <c r="C718" s="8"/>
      <c r="K718" s="8"/>
    </row>
    <row r="719" customFormat="false" ht="15" hidden="false" customHeight="false" outlineLevel="0" collapsed="false">
      <c r="C719" s="8"/>
      <c r="K719" s="8"/>
    </row>
    <row r="720" customFormat="false" ht="15" hidden="false" customHeight="false" outlineLevel="0" collapsed="false">
      <c r="C720" s="8"/>
      <c r="K720" s="8"/>
    </row>
    <row r="721" customFormat="false" ht="15" hidden="false" customHeight="false" outlineLevel="0" collapsed="false">
      <c r="C721" s="8"/>
      <c r="K721" s="8"/>
    </row>
    <row r="722" customFormat="false" ht="15" hidden="false" customHeight="false" outlineLevel="0" collapsed="false">
      <c r="C722" s="8"/>
      <c r="K722" s="8"/>
    </row>
    <row r="723" customFormat="false" ht="15" hidden="false" customHeight="false" outlineLevel="0" collapsed="false">
      <c r="C723" s="8"/>
      <c r="K723" s="8"/>
    </row>
    <row r="724" customFormat="false" ht="15" hidden="false" customHeight="false" outlineLevel="0" collapsed="false">
      <c r="C724" s="8"/>
      <c r="K724" s="8"/>
    </row>
    <row r="725" customFormat="false" ht="15" hidden="false" customHeight="false" outlineLevel="0" collapsed="false">
      <c r="C725" s="8"/>
      <c r="K725" s="8"/>
    </row>
    <row r="726" customFormat="false" ht="15" hidden="false" customHeight="false" outlineLevel="0" collapsed="false">
      <c r="C726" s="8"/>
      <c r="K726" s="8"/>
    </row>
    <row r="727" customFormat="false" ht="15" hidden="false" customHeight="false" outlineLevel="0" collapsed="false">
      <c r="C727" s="8"/>
      <c r="K727" s="8"/>
    </row>
    <row r="728" customFormat="false" ht="15" hidden="false" customHeight="false" outlineLevel="0" collapsed="false">
      <c r="C728" s="8"/>
      <c r="K728" s="8"/>
    </row>
    <row r="729" customFormat="false" ht="15" hidden="false" customHeight="false" outlineLevel="0" collapsed="false">
      <c r="C729" s="8"/>
      <c r="K729" s="8"/>
    </row>
    <row r="730" customFormat="false" ht="15" hidden="false" customHeight="false" outlineLevel="0" collapsed="false">
      <c r="C730" s="8"/>
      <c r="K730" s="8"/>
    </row>
    <row r="731" customFormat="false" ht="15" hidden="false" customHeight="false" outlineLevel="0" collapsed="false">
      <c r="C731" s="8"/>
      <c r="K731" s="8"/>
    </row>
    <row r="732" customFormat="false" ht="15" hidden="false" customHeight="false" outlineLevel="0" collapsed="false">
      <c r="C732" s="8"/>
      <c r="K732" s="8"/>
    </row>
    <row r="733" customFormat="false" ht="15" hidden="false" customHeight="false" outlineLevel="0" collapsed="false">
      <c r="C733" s="8"/>
      <c r="K733" s="8"/>
    </row>
    <row r="734" customFormat="false" ht="15" hidden="false" customHeight="false" outlineLevel="0" collapsed="false">
      <c r="C734" s="8"/>
      <c r="K734" s="8"/>
    </row>
    <row r="735" customFormat="false" ht="15" hidden="false" customHeight="false" outlineLevel="0" collapsed="false">
      <c r="C735" s="8"/>
      <c r="K735" s="8"/>
    </row>
    <row r="736" customFormat="false" ht="15" hidden="false" customHeight="false" outlineLevel="0" collapsed="false">
      <c r="C736" s="8"/>
      <c r="K736" s="8"/>
    </row>
    <row r="737" customFormat="false" ht="15" hidden="false" customHeight="false" outlineLevel="0" collapsed="false">
      <c r="C737" s="8"/>
      <c r="K737" s="8"/>
    </row>
    <row r="738" customFormat="false" ht="15" hidden="false" customHeight="false" outlineLevel="0" collapsed="false">
      <c r="C738" s="8"/>
      <c r="K738" s="8"/>
    </row>
    <row r="739" customFormat="false" ht="15" hidden="false" customHeight="false" outlineLevel="0" collapsed="false">
      <c r="C739" s="8"/>
      <c r="K739" s="8"/>
    </row>
    <row r="740" customFormat="false" ht="15" hidden="false" customHeight="false" outlineLevel="0" collapsed="false">
      <c r="C740" s="8"/>
      <c r="K740" s="8"/>
    </row>
    <row r="741" customFormat="false" ht="15" hidden="false" customHeight="false" outlineLevel="0" collapsed="false">
      <c r="C741" s="8"/>
      <c r="K741" s="8"/>
    </row>
    <row r="742" customFormat="false" ht="15" hidden="false" customHeight="false" outlineLevel="0" collapsed="false">
      <c r="C742" s="8"/>
      <c r="K742" s="8"/>
    </row>
    <row r="743" customFormat="false" ht="15" hidden="false" customHeight="false" outlineLevel="0" collapsed="false">
      <c r="C743" s="8"/>
      <c r="K743" s="8"/>
    </row>
    <row r="744" customFormat="false" ht="15" hidden="false" customHeight="false" outlineLevel="0" collapsed="false">
      <c r="C744" s="8"/>
      <c r="K744" s="8"/>
    </row>
    <row r="745" customFormat="false" ht="15" hidden="false" customHeight="false" outlineLevel="0" collapsed="false">
      <c r="C745" s="8"/>
      <c r="K745" s="8"/>
    </row>
    <row r="746" customFormat="false" ht="15" hidden="false" customHeight="false" outlineLevel="0" collapsed="false">
      <c r="C746" s="8"/>
      <c r="K746" s="8"/>
    </row>
    <row r="747" customFormat="false" ht="15" hidden="false" customHeight="false" outlineLevel="0" collapsed="false">
      <c r="C747" s="8"/>
      <c r="K747" s="8"/>
    </row>
    <row r="748" customFormat="false" ht="15" hidden="false" customHeight="false" outlineLevel="0" collapsed="false">
      <c r="C748" s="8"/>
      <c r="K748" s="8"/>
    </row>
    <row r="749" customFormat="false" ht="15" hidden="false" customHeight="false" outlineLevel="0" collapsed="false">
      <c r="C749" s="8"/>
      <c r="K749" s="8"/>
    </row>
    <row r="750" customFormat="false" ht="15" hidden="false" customHeight="false" outlineLevel="0" collapsed="false">
      <c r="C750" s="8"/>
      <c r="K750" s="8"/>
    </row>
    <row r="751" customFormat="false" ht="15" hidden="false" customHeight="false" outlineLevel="0" collapsed="false">
      <c r="C751" s="8"/>
      <c r="K751" s="8"/>
    </row>
    <row r="752" customFormat="false" ht="15" hidden="false" customHeight="false" outlineLevel="0" collapsed="false">
      <c r="C752" s="8"/>
      <c r="K752" s="8"/>
    </row>
    <row r="753" customFormat="false" ht="15" hidden="false" customHeight="false" outlineLevel="0" collapsed="false">
      <c r="C753" s="8"/>
      <c r="K753" s="8"/>
    </row>
    <row r="754" customFormat="false" ht="15" hidden="false" customHeight="false" outlineLevel="0" collapsed="false">
      <c r="C754" s="8"/>
      <c r="K754" s="8"/>
    </row>
    <row r="755" customFormat="false" ht="15" hidden="false" customHeight="false" outlineLevel="0" collapsed="false">
      <c r="C755" s="8"/>
      <c r="K755" s="8"/>
    </row>
    <row r="756" customFormat="false" ht="15" hidden="false" customHeight="false" outlineLevel="0" collapsed="false">
      <c r="C756" s="8"/>
      <c r="K756" s="8"/>
    </row>
    <row r="757" customFormat="false" ht="15" hidden="false" customHeight="false" outlineLevel="0" collapsed="false">
      <c r="C757" s="8"/>
      <c r="K757" s="8"/>
    </row>
    <row r="758" customFormat="false" ht="15" hidden="false" customHeight="false" outlineLevel="0" collapsed="false">
      <c r="C758" s="8"/>
      <c r="K758" s="8"/>
    </row>
    <row r="759" customFormat="false" ht="15" hidden="false" customHeight="false" outlineLevel="0" collapsed="false">
      <c r="C759" s="8"/>
      <c r="K759" s="8"/>
    </row>
    <row r="760" customFormat="false" ht="15" hidden="false" customHeight="false" outlineLevel="0" collapsed="false">
      <c r="C760" s="8"/>
      <c r="K760" s="8"/>
    </row>
    <row r="761" customFormat="false" ht="15" hidden="false" customHeight="false" outlineLevel="0" collapsed="false">
      <c r="C761" s="8"/>
      <c r="K761" s="8"/>
    </row>
    <row r="762" customFormat="false" ht="15" hidden="false" customHeight="false" outlineLevel="0" collapsed="false">
      <c r="C762" s="8"/>
      <c r="K762" s="8"/>
    </row>
    <row r="763" customFormat="false" ht="15" hidden="false" customHeight="false" outlineLevel="0" collapsed="false">
      <c r="C763" s="8"/>
      <c r="K763" s="8"/>
    </row>
    <row r="764" customFormat="false" ht="15" hidden="false" customHeight="false" outlineLevel="0" collapsed="false">
      <c r="C764" s="8"/>
      <c r="K764" s="8"/>
    </row>
    <row r="765" customFormat="false" ht="15" hidden="false" customHeight="false" outlineLevel="0" collapsed="false">
      <c r="C765" s="8"/>
      <c r="K765" s="8"/>
    </row>
    <row r="766" customFormat="false" ht="15" hidden="false" customHeight="false" outlineLevel="0" collapsed="false">
      <c r="C766" s="8"/>
      <c r="K766" s="8"/>
    </row>
    <row r="767" customFormat="false" ht="15" hidden="false" customHeight="false" outlineLevel="0" collapsed="false">
      <c r="C767" s="8"/>
      <c r="K767" s="8"/>
    </row>
    <row r="768" customFormat="false" ht="15" hidden="false" customHeight="false" outlineLevel="0" collapsed="false">
      <c r="C768" s="8"/>
      <c r="K768" s="8"/>
    </row>
    <row r="769" customFormat="false" ht="15" hidden="false" customHeight="false" outlineLevel="0" collapsed="false">
      <c r="C769" s="8"/>
      <c r="K769" s="8"/>
    </row>
    <row r="770" customFormat="false" ht="15" hidden="false" customHeight="false" outlineLevel="0" collapsed="false">
      <c r="C770" s="8"/>
      <c r="K770" s="8"/>
    </row>
    <row r="771" customFormat="false" ht="15" hidden="false" customHeight="false" outlineLevel="0" collapsed="false">
      <c r="C771" s="8"/>
      <c r="K771" s="8"/>
    </row>
    <row r="772" customFormat="false" ht="15" hidden="false" customHeight="false" outlineLevel="0" collapsed="false">
      <c r="C772" s="8"/>
      <c r="K772" s="8"/>
    </row>
    <row r="773" customFormat="false" ht="15" hidden="false" customHeight="false" outlineLevel="0" collapsed="false">
      <c r="C773" s="8"/>
      <c r="K773" s="8"/>
    </row>
    <row r="774" customFormat="false" ht="15" hidden="false" customHeight="false" outlineLevel="0" collapsed="false">
      <c r="C774" s="8"/>
      <c r="K774" s="8"/>
    </row>
    <row r="775" customFormat="false" ht="15" hidden="false" customHeight="false" outlineLevel="0" collapsed="false">
      <c r="C775" s="8"/>
      <c r="K775" s="8"/>
    </row>
    <row r="776" customFormat="false" ht="15" hidden="false" customHeight="false" outlineLevel="0" collapsed="false">
      <c r="C776" s="8"/>
      <c r="K776" s="8"/>
    </row>
    <row r="777" customFormat="false" ht="15" hidden="false" customHeight="false" outlineLevel="0" collapsed="false">
      <c r="C777" s="8"/>
      <c r="K777" s="8"/>
    </row>
    <row r="778" customFormat="false" ht="15" hidden="false" customHeight="false" outlineLevel="0" collapsed="false">
      <c r="C778" s="8"/>
      <c r="K778" s="8"/>
    </row>
    <row r="779" customFormat="false" ht="15" hidden="false" customHeight="false" outlineLevel="0" collapsed="false">
      <c r="C779" s="8"/>
      <c r="K779" s="8"/>
    </row>
    <row r="780" customFormat="false" ht="15" hidden="false" customHeight="false" outlineLevel="0" collapsed="false">
      <c r="C780" s="8"/>
      <c r="K780" s="8"/>
    </row>
    <row r="781" customFormat="false" ht="15" hidden="false" customHeight="false" outlineLevel="0" collapsed="false">
      <c r="C781" s="8"/>
      <c r="K781" s="8"/>
    </row>
    <row r="782" customFormat="false" ht="15" hidden="false" customHeight="false" outlineLevel="0" collapsed="false">
      <c r="C782" s="8"/>
      <c r="K782" s="8"/>
    </row>
    <row r="783" customFormat="false" ht="15" hidden="false" customHeight="false" outlineLevel="0" collapsed="false">
      <c r="C783" s="8"/>
      <c r="K783" s="8"/>
    </row>
    <row r="784" customFormat="false" ht="15" hidden="false" customHeight="false" outlineLevel="0" collapsed="false">
      <c r="C784" s="8"/>
      <c r="K784" s="8"/>
    </row>
    <row r="785" customFormat="false" ht="15" hidden="false" customHeight="false" outlineLevel="0" collapsed="false">
      <c r="C785" s="8"/>
      <c r="K785" s="8"/>
    </row>
    <row r="786" customFormat="false" ht="15" hidden="false" customHeight="false" outlineLevel="0" collapsed="false">
      <c r="C786" s="8"/>
      <c r="K786" s="8"/>
    </row>
    <row r="787" customFormat="false" ht="15" hidden="false" customHeight="false" outlineLevel="0" collapsed="false">
      <c r="C787" s="8"/>
      <c r="K787" s="8"/>
    </row>
    <row r="788" customFormat="false" ht="15" hidden="false" customHeight="false" outlineLevel="0" collapsed="false">
      <c r="C788" s="8"/>
      <c r="K788" s="8"/>
    </row>
    <row r="789" customFormat="false" ht="15" hidden="false" customHeight="false" outlineLevel="0" collapsed="false">
      <c r="C789" s="8"/>
      <c r="K789" s="8"/>
    </row>
    <row r="790" customFormat="false" ht="15" hidden="false" customHeight="false" outlineLevel="0" collapsed="false">
      <c r="C790" s="8"/>
      <c r="K790" s="8"/>
    </row>
    <row r="791" customFormat="false" ht="15" hidden="false" customHeight="false" outlineLevel="0" collapsed="false">
      <c r="C791" s="8"/>
      <c r="K791" s="8"/>
    </row>
    <row r="792" customFormat="false" ht="15" hidden="false" customHeight="false" outlineLevel="0" collapsed="false">
      <c r="C792" s="8"/>
      <c r="K792" s="8"/>
    </row>
    <row r="793" customFormat="false" ht="15" hidden="false" customHeight="false" outlineLevel="0" collapsed="false">
      <c r="C793" s="8"/>
      <c r="K793" s="8"/>
    </row>
    <row r="794" customFormat="false" ht="15" hidden="false" customHeight="false" outlineLevel="0" collapsed="false">
      <c r="C794" s="8"/>
      <c r="K794" s="8"/>
    </row>
    <row r="795" customFormat="false" ht="15" hidden="false" customHeight="false" outlineLevel="0" collapsed="false">
      <c r="C795" s="8"/>
      <c r="K795" s="8"/>
    </row>
    <row r="796" customFormat="false" ht="15" hidden="false" customHeight="false" outlineLevel="0" collapsed="false">
      <c r="C796" s="8"/>
      <c r="K796" s="8"/>
    </row>
    <row r="797" customFormat="false" ht="15" hidden="false" customHeight="false" outlineLevel="0" collapsed="false">
      <c r="C797" s="8"/>
      <c r="K797" s="8"/>
    </row>
    <row r="798" customFormat="false" ht="15" hidden="false" customHeight="false" outlineLevel="0" collapsed="false">
      <c r="C798" s="8"/>
      <c r="K798" s="8"/>
    </row>
    <row r="799" customFormat="false" ht="15" hidden="false" customHeight="false" outlineLevel="0" collapsed="false">
      <c r="C799" s="8"/>
      <c r="K799" s="8"/>
    </row>
    <row r="800" customFormat="false" ht="15" hidden="false" customHeight="false" outlineLevel="0" collapsed="false">
      <c r="C800" s="8"/>
      <c r="K800" s="8"/>
    </row>
    <row r="801" customFormat="false" ht="15" hidden="false" customHeight="false" outlineLevel="0" collapsed="false">
      <c r="C801" s="8"/>
      <c r="K801" s="8"/>
    </row>
    <row r="802" customFormat="false" ht="15" hidden="false" customHeight="false" outlineLevel="0" collapsed="false">
      <c r="C802" s="8"/>
      <c r="K802" s="8"/>
    </row>
    <row r="803" customFormat="false" ht="15" hidden="false" customHeight="false" outlineLevel="0" collapsed="false">
      <c r="C803" s="8"/>
      <c r="K803" s="8"/>
    </row>
    <row r="804" customFormat="false" ht="15" hidden="false" customHeight="false" outlineLevel="0" collapsed="false">
      <c r="C804" s="8"/>
      <c r="K804" s="8"/>
    </row>
    <row r="805" customFormat="false" ht="15" hidden="false" customHeight="false" outlineLevel="0" collapsed="false">
      <c r="C805" s="8"/>
      <c r="K805" s="8"/>
    </row>
    <row r="806" customFormat="false" ht="15" hidden="false" customHeight="false" outlineLevel="0" collapsed="false">
      <c r="C806" s="8"/>
      <c r="K806" s="8"/>
    </row>
    <row r="807" customFormat="false" ht="15" hidden="false" customHeight="false" outlineLevel="0" collapsed="false">
      <c r="C807" s="8"/>
      <c r="K807" s="8"/>
    </row>
    <row r="808" customFormat="false" ht="15" hidden="false" customHeight="false" outlineLevel="0" collapsed="false">
      <c r="C808" s="8"/>
      <c r="K808" s="8"/>
    </row>
    <row r="809" customFormat="false" ht="15" hidden="false" customHeight="false" outlineLevel="0" collapsed="false">
      <c r="C809" s="8"/>
      <c r="K809" s="8"/>
    </row>
    <row r="810" customFormat="false" ht="15" hidden="false" customHeight="false" outlineLevel="0" collapsed="false">
      <c r="C810" s="8"/>
      <c r="K810" s="8"/>
    </row>
    <row r="811" customFormat="false" ht="15" hidden="false" customHeight="false" outlineLevel="0" collapsed="false">
      <c r="C811" s="8"/>
      <c r="K811" s="8"/>
    </row>
    <row r="812" customFormat="false" ht="15" hidden="false" customHeight="false" outlineLevel="0" collapsed="false">
      <c r="C812" s="8"/>
      <c r="K812" s="8"/>
    </row>
    <row r="813" customFormat="false" ht="15" hidden="false" customHeight="false" outlineLevel="0" collapsed="false">
      <c r="C813" s="8"/>
      <c r="K813" s="8"/>
    </row>
    <row r="814" customFormat="false" ht="15" hidden="false" customHeight="false" outlineLevel="0" collapsed="false">
      <c r="C814" s="8"/>
      <c r="K814" s="8"/>
    </row>
    <row r="815" customFormat="false" ht="15" hidden="false" customHeight="false" outlineLevel="0" collapsed="false">
      <c r="C815" s="8"/>
      <c r="K815" s="8"/>
    </row>
    <row r="816" customFormat="false" ht="15" hidden="false" customHeight="false" outlineLevel="0" collapsed="false">
      <c r="C816" s="8"/>
      <c r="K816" s="8"/>
    </row>
    <row r="817" customFormat="false" ht="15" hidden="false" customHeight="false" outlineLevel="0" collapsed="false">
      <c r="C817" s="8"/>
      <c r="K817" s="8"/>
    </row>
    <row r="818" customFormat="false" ht="15" hidden="false" customHeight="false" outlineLevel="0" collapsed="false">
      <c r="C818" s="8"/>
      <c r="K818" s="8"/>
    </row>
    <row r="819" customFormat="false" ht="15" hidden="false" customHeight="false" outlineLevel="0" collapsed="false">
      <c r="C819" s="8"/>
      <c r="K819" s="8"/>
    </row>
    <row r="820" customFormat="false" ht="15" hidden="false" customHeight="false" outlineLevel="0" collapsed="false">
      <c r="C820" s="8"/>
      <c r="K820" s="8"/>
    </row>
    <row r="821" customFormat="false" ht="15" hidden="false" customHeight="false" outlineLevel="0" collapsed="false">
      <c r="C821" s="8"/>
      <c r="K821" s="8"/>
    </row>
    <row r="822" customFormat="false" ht="15" hidden="false" customHeight="false" outlineLevel="0" collapsed="false">
      <c r="C822" s="8"/>
      <c r="K822" s="8"/>
    </row>
    <row r="823" customFormat="false" ht="15" hidden="false" customHeight="false" outlineLevel="0" collapsed="false">
      <c r="C823" s="8"/>
      <c r="K823" s="8"/>
    </row>
    <row r="824" customFormat="false" ht="15" hidden="false" customHeight="false" outlineLevel="0" collapsed="false">
      <c r="C824" s="8"/>
      <c r="K824" s="8"/>
    </row>
    <row r="825" customFormat="false" ht="15" hidden="false" customHeight="false" outlineLevel="0" collapsed="false">
      <c r="C825" s="8"/>
      <c r="K825" s="8"/>
    </row>
    <row r="826" customFormat="false" ht="15" hidden="false" customHeight="false" outlineLevel="0" collapsed="false">
      <c r="C826" s="8"/>
      <c r="K826" s="8"/>
    </row>
    <row r="827" customFormat="false" ht="15" hidden="false" customHeight="false" outlineLevel="0" collapsed="false">
      <c r="C827" s="8"/>
      <c r="K827" s="8"/>
    </row>
    <row r="828" customFormat="false" ht="15" hidden="false" customHeight="false" outlineLevel="0" collapsed="false">
      <c r="C828" s="8"/>
      <c r="K828" s="8"/>
    </row>
    <row r="829" customFormat="false" ht="15" hidden="false" customHeight="false" outlineLevel="0" collapsed="false">
      <c r="C829" s="8"/>
      <c r="K829" s="8"/>
    </row>
    <row r="830" customFormat="false" ht="15" hidden="false" customHeight="false" outlineLevel="0" collapsed="false">
      <c r="C830" s="8"/>
      <c r="K830" s="8"/>
    </row>
    <row r="831" customFormat="false" ht="15" hidden="false" customHeight="false" outlineLevel="0" collapsed="false">
      <c r="C831" s="8"/>
      <c r="K831" s="8"/>
    </row>
    <row r="832" customFormat="false" ht="15" hidden="false" customHeight="false" outlineLevel="0" collapsed="false">
      <c r="C832" s="8"/>
      <c r="K832" s="8"/>
    </row>
    <row r="833" customFormat="false" ht="15" hidden="false" customHeight="false" outlineLevel="0" collapsed="false">
      <c r="C833" s="8"/>
      <c r="K833" s="8"/>
    </row>
    <row r="834" customFormat="false" ht="15" hidden="false" customHeight="false" outlineLevel="0" collapsed="false">
      <c r="C834" s="8"/>
      <c r="K834" s="8"/>
    </row>
    <row r="835" customFormat="false" ht="15" hidden="false" customHeight="false" outlineLevel="0" collapsed="false">
      <c r="C835" s="8"/>
      <c r="K835" s="8"/>
    </row>
    <row r="836" customFormat="false" ht="15" hidden="false" customHeight="false" outlineLevel="0" collapsed="false">
      <c r="C836" s="8"/>
      <c r="K836" s="8"/>
    </row>
    <row r="837" customFormat="false" ht="15" hidden="false" customHeight="false" outlineLevel="0" collapsed="false">
      <c r="C837" s="8"/>
      <c r="K837" s="8"/>
    </row>
    <row r="838" customFormat="false" ht="15" hidden="false" customHeight="false" outlineLevel="0" collapsed="false">
      <c r="C838" s="8"/>
      <c r="K838" s="8"/>
    </row>
    <row r="839" customFormat="false" ht="15" hidden="false" customHeight="false" outlineLevel="0" collapsed="false">
      <c r="C839" s="8"/>
      <c r="K839" s="8"/>
    </row>
    <row r="840" customFormat="false" ht="15" hidden="false" customHeight="false" outlineLevel="0" collapsed="false">
      <c r="C840" s="8"/>
      <c r="K840" s="8"/>
    </row>
    <row r="841" customFormat="false" ht="15" hidden="false" customHeight="false" outlineLevel="0" collapsed="false">
      <c r="C841" s="8"/>
      <c r="K841" s="8"/>
    </row>
    <row r="842" customFormat="false" ht="15" hidden="false" customHeight="false" outlineLevel="0" collapsed="false">
      <c r="C842" s="8"/>
      <c r="K842" s="8"/>
    </row>
    <row r="843" customFormat="false" ht="15" hidden="false" customHeight="false" outlineLevel="0" collapsed="false">
      <c r="C843" s="8"/>
      <c r="K843" s="8"/>
    </row>
    <row r="844" customFormat="false" ht="15" hidden="false" customHeight="false" outlineLevel="0" collapsed="false">
      <c r="C844" s="8"/>
      <c r="K844" s="8"/>
    </row>
    <row r="845" customFormat="false" ht="15" hidden="false" customHeight="false" outlineLevel="0" collapsed="false">
      <c r="C845" s="8"/>
      <c r="K845" s="8"/>
    </row>
    <row r="846" customFormat="false" ht="15" hidden="false" customHeight="false" outlineLevel="0" collapsed="false">
      <c r="C846" s="8"/>
      <c r="K846" s="8"/>
    </row>
    <row r="847" customFormat="false" ht="15" hidden="false" customHeight="false" outlineLevel="0" collapsed="false">
      <c r="C847" s="8"/>
      <c r="K847" s="8"/>
    </row>
    <row r="848" customFormat="false" ht="15" hidden="false" customHeight="false" outlineLevel="0" collapsed="false">
      <c r="C848" s="8"/>
      <c r="K848" s="8"/>
    </row>
    <row r="849" customFormat="false" ht="15" hidden="false" customHeight="false" outlineLevel="0" collapsed="false">
      <c r="C849" s="8"/>
      <c r="K849" s="8"/>
    </row>
    <row r="850" customFormat="false" ht="15" hidden="false" customHeight="false" outlineLevel="0" collapsed="false">
      <c r="C850" s="8"/>
      <c r="K850" s="8"/>
    </row>
    <row r="851" customFormat="false" ht="15" hidden="false" customHeight="false" outlineLevel="0" collapsed="false">
      <c r="C851" s="8"/>
      <c r="K851" s="8"/>
    </row>
    <row r="852" customFormat="false" ht="15" hidden="false" customHeight="false" outlineLevel="0" collapsed="false">
      <c r="C852" s="8"/>
      <c r="K852" s="8"/>
    </row>
    <row r="853" customFormat="false" ht="15" hidden="false" customHeight="false" outlineLevel="0" collapsed="false">
      <c r="C853" s="8"/>
      <c r="K853" s="8"/>
    </row>
    <row r="854" customFormat="false" ht="15" hidden="false" customHeight="false" outlineLevel="0" collapsed="false">
      <c r="C854" s="8"/>
      <c r="K854" s="8"/>
    </row>
    <row r="855" customFormat="false" ht="15" hidden="false" customHeight="false" outlineLevel="0" collapsed="false">
      <c r="C855" s="8"/>
      <c r="K855" s="8"/>
    </row>
    <row r="856" customFormat="false" ht="15" hidden="false" customHeight="false" outlineLevel="0" collapsed="false">
      <c r="C856" s="8"/>
      <c r="K856" s="8"/>
    </row>
    <row r="857" customFormat="false" ht="15" hidden="false" customHeight="false" outlineLevel="0" collapsed="false">
      <c r="C857" s="8"/>
      <c r="K857" s="8"/>
    </row>
    <row r="858" customFormat="false" ht="15" hidden="false" customHeight="false" outlineLevel="0" collapsed="false">
      <c r="C858" s="8"/>
      <c r="K858" s="8"/>
    </row>
    <row r="859" customFormat="false" ht="15" hidden="false" customHeight="false" outlineLevel="0" collapsed="false">
      <c r="C859" s="8"/>
      <c r="K859" s="8"/>
    </row>
    <row r="860" customFormat="false" ht="15" hidden="false" customHeight="false" outlineLevel="0" collapsed="false">
      <c r="C860" s="8"/>
      <c r="K860" s="8"/>
    </row>
    <row r="861" customFormat="false" ht="15" hidden="false" customHeight="false" outlineLevel="0" collapsed="false">
      <c r="C861" s="8"/>
      <c r="K861" s="8"/>
    </row>
    <row r="862" customFormat="false" ht="15" hidden="false" customHeight="false" outlineLevel="0" collapsed="false">
      <c r="C862" s="8"/>
      <c r="K862" s="8"/>
    </row>
    <row r="863" customFormat="false" ht="15" hidden="false" customHeight="false" outlineLevel="0" collapsed="false">
      <c r="C863" s="8"/>
      <c r="K863" s="8"/>
    </row>
    <row r="864" customFormat="false" ht="15" hidden="false" customHeight="false" outlineLevel="0" collapsed="false">
      <c r="C864" s="8"/>
      <c r="K864" s="8"/>
    </row>
    <row r="865" customFormat="false" ht="15" hidden="false" customHeight="false" outlineLevel="0" collapsed="false">
      <c r="C865" s="8"/>
      <c r="K865" s="8"/>
    </row>
    <row r="866" customFormat="false" ht="15" hidden="false" customHeight="false" outlineLevel="0" collapsed="false">
      <c r="C866" s="8"/>
      <c r="K866" s="8"/>
    </row>
    <row r="867" customFormat="false" ht="15" hidden="false" customHeight="false" outlineLevel="0" collapsed="false">
      <c r="C867" s="8"/>
      <c r="K867" s="8"/>
    </row>
    <row r="868" customFormat="false" ht="15" hidden="false" customHeight="false" outlineLevel="0" collapsed="false">
      <c r="C868" s="8"/>
      <c r="K868" s="8"/>
    </row>
    <row r="869" customFormat="false" ht="15" hidden="false" customHeight="false" outlineLevel="0" collapsed="false">
      <c r="C869" s="8"/>
      <c r="K869" s="8"/>
    </row>
    <row r="870" customFormat="false" ht="15" hidden="false" customHeight="false" outlineLevel="0" collapsed="false">
      <c r="C870" s="8"/>
      <c r="K870" s="8"/>
    </row>
    <row r="871" customFormat="false" ht="15" hidden="false" customHeight="false" outlineLevel="0" collapsed="false">
      <c r="C871" s="8"/>
      <c r="K871" s="8"/>
    </row>
    <row r="872" customFormat="false" ht="15" hidden="false" customHeight="false" outlineLevel="0" collapsed="false">
      <c r="C872" s="8"/>
      <c r="K872" s="8"/>
    </row>
    <row r="873" customFormat="false" ht="15" hidden="false" customHeight="false" outlineLevel="0" collapsed="false">
      <c r="C873" s="8"/>
      <c r="K873" s="8"/>
    </row>
    <row r="874" customFormat="false" ht="15" hidden="false" customHeight="false" outlineLevel="0" collapsed="false">
      <c r="C874" s="8"/>
      <c r="K874" s="8"/>
    </row>
    <row r="875" customFormat="false" ht="15" hidden="false" customHeight="false" outlineLevel="0" collapsed="false">
      <c r="C875" s="8"/>
      <c r="K875" s="8"/>
    </row>
    <row r="876" customFormat="false" ht="15" hidden="false" customHeight="false" outlineLevel="0" collapsed="false">
      <c r="C876" s="8"/>
      <c r="K876" s="8"/>
    </row>
    <row r="877" customFormat="false" ht="15" hidden="false" customHeight="false" outlineLevel="0" collapsed="false">
      <c r="C877" s="8"/>
      <c r="K877" s="8"/>
    </row>
    <row r="878" customFormat="false" ht="15" hidden="false" customHeight="false" outlineLevel="0" collapsed="false">
      <c r="C878" s="8"/>
      <c r="K878" s="8"/>
    </row>
    <row r="879" customFormat="false" ht="15" hidden="false" customHeight="false" outlineLevel="0" collapsed="false">
      <c r="C879" s="8"/>
      <c r="K879" s="8"/>
    </row>
    <row r="880" customFormat="false" ht="15" hidden="false" customHeight="false" outlineLevel="0" collapsed="false">
      <c r="C880" s="8"/>
      <c r="K880" s="8"/>
    </row>
    <row r="881" customFormat="false" ht="15" hidden="false" customHeight="false" outlineLevel="0" collapsed="false">
      <c r="C881" s="8"/>
      <c r="K881" s="8"/>
    </row>
    <row r="882" customFormat="false" ht="15" hidden="false" customHeight="false" outlineLevel="0" collapsed="false">
      <c r="C882" s="8"/>
      <c r="K882" s="8"/>
    </row>
    <row r="883" customFormat="false" ht="15" hidden="false" customHeight="false" outlineLevel="0" collapsed="false">
      <c r="C883" s="8"/>
      <c r="K883" s="8"/>
    </row>
    <row r="884" customFormat="false" ht="15" hidden="false" customHeight="false" outlineLevel="0" collapsed="false">
      <c r="C884" s="8"/>
      <c r="K884" s="8"/>
    </row>
    <row r="885" customFormat="false" ht="15" hidden="false" customHeight="false" outlineLevel="0" collapsed="false">
      <c r="C885" s="8"/>
      <c r="K885" s="8"/>
    </row>
    <row r="886" customFormat="false" ht="15" hidden="false" customHeight="false" outlineLevel="0" collapsed="false">
      <c r="C886" s="8"/>
      <c r="K886" s="8"/>
    </row>
    <row r="887" customFormat="false" ht="15" hidden="false" customHeight="false" outlineLevel="0" collapsed="false">
      <c r="C887" s="8"/>
      <c r="K887" s="8"/>
    </row>
    <row r="888" customFormat="false" ht="15" hidden="false" customHeight="false" outlineLevel="0" collapsed="false">
      <c r="C888" s="8"/>
      <c r="K888" s="8"/>
    </row>
    <row r="889" customFormat="false" ht="15" hidden="false" customHeight="false" outlineLevel="0" collapsed="false">
      <c r="C889" s="8"/>
      <c r="K889" s="8"/>
    </row>
    <row r="890" customFormat="false" ht="15" hidden="false" customHeight="false" outlineLevel="0" collapsed="false">
      <c r="C890" s="8"/>
      <c r="K890" s="8"/>
    </row>
    <row r="891" customFormat="false" ht="15" hidden="false" customHeight="false" outlineLevel="0" collapsed="false">
      <c r="C891" s="8"/>
      <c r="K891" s="8"/>
    </row>
    <row r="892" customFormat="false" ht="15" hidden="false" customHeight="false" outlineLevel="0" collapsed="false">
      <c r="C892" s="8"/>
      <c r="K892" s="8"/>
    </row>
    <row r="893" customFormat="false" ht="15" hidden="false" customHeight="false" outlineLevel="0" collapsed="false">
      <c r="C893" s="8"/>
      <c r="K893" s="8"/>
    </row>
    <row r="894" customFormat="false" ht="15" hidden="false" customHeight="false" outlineLevel="0" collapsed="false">
      <c r="C894" s="8"/>
      <c r="K894" s="8"/>
    </row>
    <row r="895" customFormat="false" ht="15" hidden="false" customHeight="false" outlineLevel="0" collapsed="false">
      <c r="C895" s="8"/>
      <c r="K895" s="8"/>
    </row>
    <row r="896" customFormat="false" ht="15" hidden="false" customHeight="false" outlineLevel="0" collapsed="false">
      <c r="C896" s="8"/>
      <c r="K896" s="8"/>
    </row>
    <row r="897" customFormat="false" ht="15" hidden="false" customHeight="false" outlineLevel="0" collapsed="false">
      <c r="C897" s="8"/>
      <c r="K897" s="8"/>
    </row>
    <row r="898" customFormat="false" ht="15" hidden="false" customHeight="false" outlineLevel="0" collapsed="false">
      <c r="C898" s="8"/>
      <c r="K898" s="8"/>
    </row>
    <row r="899" customFormat="false" ht="15" hidden="false" customHeight="false" outlineLevel="0" collapsed="false">
      <c r="C899" s="8"/>
      <c r="K899" s="8"/>
    </row>
    <row r="900" customFormat="false" ht="15" hidden="false" customHeight="false" outlineLevel="0" collapsed="false">
      <c r="C900" s="8"/>
      <c r="K900" s="8"/>
    </row>
    <row r="901" customFormat="false" ht="15" hidden="false" customHeight="false" outlineLevel="0" collapsed="false">
      <c r="C901" s="8"/>
      <c r="K901" s="8"/>
    </row>
    <row r="902" customFormat="false" ht="15" hidden="false" customHeight="false" outlineLevel="0" collapsed="false">
      <c r="C902" s="8"/>
      <c r="K902" s="8"/>
    </row>
    <row r="903" customFormat="false" ht="15" hidden="false" customHeight="false" outlineLevel="0" collapsed="false">
      <c r="C903" s="8"/>
      <c r="K903" s="8"/>
    </row>
    <row r="904" customFormat="false" ht="15" hidden="false" customHeight="false" outlineLevel="0" collapsed="false">
      <c r="C904" s="8"/>
      <c r="K904" s="8"/>
    </row>
    <row r="905" customFormat="false" ht="15" hidden="false" customHeight="false" outlineLevel="0" collapsed="false">
      <c r="C905" s="8"/>
      <c r="K905" s="8"/>
    </row>
    <row r="906" customFormat="false" ht="15" hidden="false" customHeight="false" outlineLevel="0" collapsed="false">
      <c r="C906" s="8"/>
      <c r="K906" s="8"/>
    </row>
    <row r="907" customFormat="false" ht="15" hidden="false" customHeight="false" outlineLevel="0" collapsed="false">
      <c r="C907" s="8"/>
      <c r="K907" s="8"/>
    </row>
    <row r="908" customFormat="false" ht="15" hidden="false" customHeight="false" outlineLevel="0" collapsed="false">
      <c r="C908" s="8"/>
      <c r="K908" s="8"/>
    </row>
    <row r="909" customFormat="false" ht="15" hidden="false" customHeight="false" outlineLevel="0" collapsed="false">
      <c r="C909" s="8"/>
      <c r="K909" s="8"/>
    </row>
    <row r="910" customFormat="false" ht="15" hidden="false" customHeight="false" outlineLevel="0" collapsed="false">
      <c r="C910" s="8"/>
      <c r="K910" s="8"/>
    </row>
    <row r="911" customFormat="false" ht="15" hidden="false" customHeight="false" outlineLevel="0" collapsed="false">
      <c r="C911" s="8"/>
      <c r="K911" s="8"/>
    </row>
    <row r="912" customFormat="false" ht="15" hidden="false" customHeight="false" outlineLevel="0" collapsed="false">
      <c r="C912" s="8"/>
      <c r="K912" s="8"/>
    </row>
    <row r="913" customFormat="false" ht="15" hidden="false" customHeight="false" outlineLevel="0" collapsed="false">
      <c r="C913" s="8"/>
      <c r="K913" s="8"/>
    </row>
    <row r="914" customFormat="false" ht="15" hidden="false" customHeight="false" outlineLevel="0" collapsed="false">
      <c r="C914" s="8"/>
      <c r="K914" s="8"/>
    </row>
    <row r="915" customFormat="false" ht="15" hidden="false" customHeight="false" outlineLevel="0" collapsed="false">
      <c r="C915" s="8"/>
      <c r="K915" s="8"/>
    </row>
    <row r="916" customFormat="false" ht="15" hidden="false" customHeight="false" outlineLevel="0" collapsed="false">
      <c r="C916" s="8"/>
      <c r="K916" s="8"/>
    </row>
    <row r="917" customFormat="false" ht="15" hidden="false" customHeight="false" outlineLevel="0" collapsed="false">
      <c r="C917" s="8"/>
      <c r="K917" s="8"/>
    </row>
    <row r="918" customFormat="false" ht="15" hidden="false" customHeight="false" outlineLevel="0" collapsed="false">
      <c r="C918" s="8"/>
      <c r="K918" s="8"/>
    </row>
    <row r="919" customFormat="false" ht="15" hidden="false" customHeight="false" outlineLevel="0" collapsed="false">
      <c r="C919" s="8"/>
      <c r="K919" s="8"/>
    </row>
    <row r="920" customFormat="false" ht="15" hidden="false" customHeight="false" outlineLevel="0" collapsed="false">
      <c r="C920" s="8"/>
      <c r="K920" s="8"/>
    </row>
    <row r="921" customFormat="false" ht="15" hidden="false" customHeight="false" outlineLevel="0" collapsed="false">
      <c r="C921" s="8"/>
      <c r="K921" s="8"/>
    </row>
    <row r="922" customFormat="false" ht="15" hidden="false" customHeight="false" outlineLevel="0" collapsed="false">
      <c r="C922" s="8"/>
      <c r="K922" s="8"/>
    </row>
    <row r="923" customFormat="false" ht="15" hidden="false" customHeight="false" outlineLevel="0" collapsed="false">
      <c r="C923" s="8"/>
      <c r="K923" s="8"/>
    </row>
    <row r="924" customFormat="false" ht="15" hidden="false" customHeight="false" outlineLevel="0" collapsed="false">
      <c r="C924" s="8"/>
      <c r="K924" s="8"/>
    </row>
    <row r="925" customFormat="false" ht="15" hidden="false" customHeight="false" outlineLevel="0" collapsed="false">
      <c r="C925" s="8"/>
      <c r="K925" s="8"/>
    </row>
    <row r="926" customFormat="false" ht="15" hidden="false" customHeight="false" outlineLevel="0" collapsed="false">
      <c r="C926" s="8"/>
      <c r="K926" s="8"/>
    </row>
    <row r="927" customFormat="false" ht="15" hidden="false" customHeight="false" outlineLevel="0" collapsed="false">
      <c r="C927" s="8"/>
      <c r="K927" s="8"/>
    </row>
    <row r="928" customFormat="false" ht="15" hidden="false" customHeight="false" outlineLevel="0" collapsed="false">
      <c r="C928" s="8"/>
      <c r="K928" s="8"/>
    </row>
    <row r="929" customFormat="false" ht="15" hidden="false" customHeight="false" outlineLevel="0" collapsed="false">
      <c r="C929" s="8"/>
      <c r="K929" s="8"/>
    </row>
    <row r="930" customFormat="false" ht="15" hidden="false" customHeight="false" outlineLevel="0" collapsed="false">
      <c r="C930" s="8"/>
      <c r="K930" s="8"/>
    </row>
    <row r="931" customFormat="false" ht="15" hidden="false" customHeight="false" outlineLevel="0" collapsed="false">
      <c r="C931" s="8"/>
      <c r="K931" s="8"/>
    </row>
    <row r="932" customFormat="false" ht="15" hidden="false" customHeight="false" outlineLevel="0" collapsed="false">
      <c r="C932" s="8"/>
      <c r="K932" s="8"/>
    </row>
    <row r="933" customFormat="false" ht="15" hidden="false" customHeight="false" outlineLevel="0" collapsed="false">
      <c r="C933" s="8"/>
      <c r="K933" s="8"/>
    </row>
    <row r="934" customFormat="false" ht="15" hidden="false" customHeight="false" outlineLevel="0" collapsed="false">
      <c r="C934" s="8"/>
      <c r="K934" s="8"/>
    </row>
    <row r="935" customFormat="false" ht="15" hidden="false" customHeight="false" outlineLevel="0" collapsed="false">
      <c r="C935" s="8"/>
      <c r="K935" s="8"/>
    </row>
    <row r="936" customFormat="false" ht="15" hidden="false" customHeight="false" outlineLevel="0" collapsed="false">
      <c r="C936" s="8"/>
      <c r="K936" s="8"/>
    </row>
    <row r="937" customFormat="false" ht="15" hidden="false" customHeight="false" outlineLevel="0" collapsed="false">
      <c r="C937" s="8"/>
      <c r="K937" s="8"/>
    </row>
    <row r="938" customFormat="false" ht="15" hidden="false" customHeight="false" outlineLevel="0" collapsed="false">
      <c r="C938" s="8"/>
      <c r="K938" s="8"/>
    </row>
    <row r="939" customFormat="false" ht="15" hidden="false" customHeight="false" outlineLevel="0" collapsed="false">
      <c r="C939" s="8"/>
      <c r="K939" s="8"/>
    </row>
    <row r="940" customFormat="false" ht="15" hidden="false" customHeight="false" outlineLevel="0" collapsed="false">
      <c r="C940" s="8"/>
      <c r="K940" s="8"/>
    </row>
    <row r="941" customFormat="false" ht="15" hidden="false" customHeight="false" outlineLevel="0" collapsed="false">
      <c r="C941" s="8"/>
      <c r="K941" s="8"/>
    </row>
    <row r="942" customFormat="false" ht="15" hidden="false" customHeight="false" outlineLevel="0" collapsed="false">
      <c r="C942" s="8"/>
      <c r="K942" s="8"/>
    </row>
    <row r="943" customFormat="false" ht="15" hidden="false" customHeight="false" outlineLevel="0" collapsed="false">
      <c r="C943" s="8"/>
      <c r="K943" s="8"/>
    </row>
    <row r="944" customFormat="false" ht="15" hidden="false" customHeight="false" outlineLevel="0" collapsed="false">
      <c r="C944" s="8"/>
      <c r="K944" s="8"/>
    </row>
    <row r="945" customFormat="false" ht="15" hidden="false" customHeight="false" outlineLevel="0" collapsed="false">
      <c r="C945" s="8"/>
      <c r="K945" s="8"/>
    </row>
    <row r="946" customFormat="false" ht="15" hidden="false" customHeight="false" outlineLevel="0" collapsed="false">
      <c r="C946" s="8"/>
      <c r="K946" s="8"/>
    </row>
    <row r="947" customFormat="false" ht="15" hidden="false" customHeight="false" outlineLevel="0" collapsed="false">
      <c r="C947" s="8"/>
      <c r="K947" s="8"/>
    </row>
    <row r="948" customFormat="false" ht="15" hidden="false" customHeight="false" outlineLevel="0" collapsed="false">
      <c r="C948" s="8"/>
      <c r="K948" s="8"/>
    </row>
    <row r="949" customFormat="false" ht="15" hidden="false" customHeight="false" outlineLevel="0" collapsed="false">
      <c r="C949" s="8"/>
      <c r="K949" s="8"/>
    </row>
    <row r="950" customFormat="false" ht="15" hidden="false" customHeight="false" outlineLevel="0" collapsed="false">
      <c r="C950" s="8"/>
      <c r="K950" s="8"/>
    </row>
    <row r="951" customFormat="false" ht="15" hidden="false" customHeight="false" outlineLevel="0" collapsed="false">
      <c r="C951" s="8"/>
      <c r="K951" s="8"/>
    </row>
    <row r="952" customFormat="false" ht="15" hidden="false" customHeight="false" outlineLevel="0" collapsed="false">
      <c r="C952" s="8"/>
      <c r="K952" s="8"/>
    </row>
    <row r="953" customFormat="false" ht="15" hidden="false" customHeight="false" outlineLevel="0" collapsed="false">
      <c r="C953" s="8"/>
      <c r="K953" s="8"/>
    </row>
    <row r="954" customFormat="false" ht="15" hidden="false" customHeight="false" outlineLevel="0" collapsed="false">
      <c r="C954" s="8"/>
      <c r="K954" s="8"/>
    </row>
    <row r="955" customFormat="false" ht="15" hidden="false" customHeight="false" outlineLevel="0" collapsed="false">
      <c r="C955" s="8"/>
      <c r="K955" s="8"/>
    </row>
    <row r="956" customFormat="false" ht="15" hidden="false" customHeight="false" outlineLevel="0" collapsed="false">
      <c r="C956" s="8"/>
      <c r="K956" s="8"/>
    </row>
    <row r="957" customFormat="false" ht="15" hidden="false" customHeight="false" outlineLevel="0" collapsed="false">
      <c r="C957" s="8"/>
      <c r="K957" s="8"/>
    </row>
    <row r="958" customFormat="false" ht="15" hidden="false" customHeight="false" outlineLevel="0" collapsed="false">
      <c r="C958" s="8"/>
      <c r="K958" s="8"/>
    </row>
    <row r="959" customFormat="false" ht="15" hidden="false" customHeight="false" outlineLevel="0" collapsed="false">
      <c r="C959" s="8"/>
      <c r="K959" s="8"/>
    </row>
    <row r="960" customFormat="false" ht="15" hidden="false" customHeight="false" outlineLevel="0" collapsed="false">
      <c r="C960" s="8"/>
      <c r="K960" s="8"/>
    </row>
    <row r="961" customFormat="false" ht="15" hidden="false" customHeight="false" outlineLevel="0" collapsed="false">
      <c r="C961" s="8"/>
      <c r="K961" s="8"/>
    </row>
    <row r="962" customFormat="false" ht="15" hidden="false" customHeight="false" outlineLevel="0" collapsed="false">
      <c r="C962" s="8"/>
      <c r="K962" s="8"/>
    </row>
    <row r="963" customFormat="false" ht="15" hidden="false" customHeight="false" outlineLevel="0" collapsed="false">
      <c r="C963" s="8"/>
      <c r="K963" s="8"/>
    </row>
    <row r="964" customFormat="false" ht="15" hidden="false" customHeight="false" outlineLevel="0" collapsed="false">
      <c r="C964" s="8"/>
      <c r="K964" s="8"/>
    </row>
    <row r="965" customFormat="false" ht="15" hidden="false" customHeight="false" outlineLevel="0" collapsed="false">
      <c r="C965" s="8"/>
      <c r="K965" s="8"/>
    </row>
    <row r="966" customFormat="false" ht="15" hidden="false" customHeight="false" outlineLevel="0" collapsed="false">
      <c r="C966" s="8"/>
      <c r="K966" s="8"/>
    </row>
    <row r="967" customFormat="false" ht="15" hidden="false" customHeight="false" outlineLevel="0" collapsed="false">
      <c r="C967" s="8"/>
      <c r="K967" s="8"/>
    </row>
    <row r="968" customFormat="false" ht="15" hidden="false" customHeight="false" outlineLevel="0" collapsed="false">
      <c r="C968" s="8"/>
      <c r="K968" s="8"/>
    </row>
    <row r="969" customFormat="false" ht="15" hidden="false" customHeight="false" outlineLevel="0" collapsed="false">
      <c r="C969" s="8"/>
      <c r="K969" s="8"/>
    </row>
    <row r="970" customFormat="false" ht="15" hidden="false" customHeight="false" outlineLevel="0" collapsed="false">
      <c r="C970" s="8"/>
      <c r="K970" s="8"/>
    </row>
    <row r="971" customFormat="false" ht="15" hidden="false" customHeight="false" outlineLevel="0" collapsed="false">
      <c r="C971" s="8"/>
      <c r="K971" s="8"/>
    </row>
    <row r="972" customFormat="false" ht="15" hidden="false" customHeight="false" outlineLevel="0" collapsed="false">
      <c r="C972" s="8"/>
      <c r="K972" s="8"/>
    </row>
    <row r="973" customFormat="false" ht="15" hidden="false" customHeight="false" outlineLevel="0" collapsed="false">
      <c r="C973" s="8"/>
      <c r="K973" s="8"/>
    </row>
    <row r="974" customFormat="false" ht="15" hidden="false" customHeight="false" outlineLevel="0" collapsed="false">
      <c r="C974" s="8"/>
      <c r="K974" s="8"/>
    </row>
    <row r="975" customFormat="false" ht="15" hidden="false" customHeight="false" outlineLevel="0" collapsed="false">
      <c r="C975" s="8"/>
      <c r="K975" s="8"/>
    </row>
    <row r="976" customFormat="false" ht="15" hidden="false" customHeight="false" outlineLevel="0" collapsed="false">
      <c r="C976" s="8"/>
      <c r="K976" s="8"/>
    </row>
    <row r="977" customFormat="false" ht="15" hidden="false" customHeight="false" outlineLevel="0" collapsed="false">
      <c r="C977" s="8"/>
      <c r="K977" s="8"/>
    </row>
    <row r="978" customFormat="false" ht="15" hidden="false" customHeight="false" outlineLevel="0" collapsed="false">
      <c r="C978" s="8"/>
      <c r="K978" s="8"/>
    </row>
    <row r="979" customFormat="false" ht="15" hidden="false" customHeight="false" outlineLevel="0" collapsed="false">
      <c r="C979" s="8"/>
      <c r="K979" s="8"/>
    </row>
    <row r="980" customFormat="false" ht="15" hidden="false" customHeight="false" outlineLevel="0" collapsed="false">
      <c r="C980" s="8"/>
      <c r="K980" s="8"/>
    </row>
    <row r="981" customFormat="false" ht="15" hidden="false" customHeight="false" outlineLevel="0" collapsed="false">
      <c r="C981" s="8"/>
      <c r="K981" s="8"/>
    </row>
    <row r="982" customFormat="false" ht="15" hidden="false" customHeight="false" outlineLevel="0" collapsed="false">
      <c r="C982" s="8"/>
      <c r="K982" s="8"/>
    </row>
    <row r="983" customFormat="false" ht="15" hidden="false" customHeight="false" outlineLevel="0" collapsed="false">
      <c r="C983" s="8"/>
      <c r="K983" s="8"/>
    </row>
    <row r="984" customFormat="false" ht="15" hidden="false" customHeight="false" outlineLevel="0" collapsed="false">
      <c r="C984" s="8"/>
      <c r="K984" s="8"/>
    </row>
    <row r="985" customFormat="false" ht="15" hidden="false" customHeight="false" outlineLevel="0" collapsed="false">
      <c r="C985" s="8"/>
      <c r="K985" s="8"/>
    </row>
    <row r="986" customFormat="false" ht="15" hidden="false" customHeight="false" outlineLevel="0" collapsed="false">
      <c r="C986" s="8"/>
      <c r="K986" s="8"/>
    </row>
    <row r="987" customFormat="false" ht="15" hidden="false" customHeight="false" outlineLevel="0" collapsed="false">
      <c r="C987" s="8"/>
      <c r="K987" s="8"/>
    </row>
    <row r="988" customFormat="false" ht="15" hidden="false" customHeight="false" outlineLevel="0" collapsed="false">
      <c r="C988" s="8"/>
      <c r="K988" s="8"/>
    </row>
    <row r="989" customFormat="false" ht="15" hidden="false" customHeight="false" outlineLevel="0" collapsed="false">
      <c r="C989" s="8"/>
      <c r="K989" s="8"/>
    </row>
    <row r="990" customFormat="false" ht="15" hidden="false" customHeight="false" outlineLevel="0" collapsed="false">
      <c r="C990" s="8"/>
      <c r="K990" s="8"/>
    </row>
    <row r="991" customFormat="false" ht="15" hidden="false" customHeight="false" outlineLevel="0" collapsed="false">
      <c r="C991" s="8"/>
      <c r="K991" s="8"/>
    </row>
    <row r="992" customFormat="false" ht="15" hidden="false" customHeight="false" outlineLevel="0" collapsed="false">
      <c r="C992" s="8"/>
      <c r="K992" s="8"/>
    </row>
    <row r="993" customFormat="false" ht="15" hidden="false" customHeight="false" outlineLevel="0" collapsed="false">
      <c r="C993" s="8"/>
      <c r="K993" s="8"/>
    </row>
    <row r="994" customFormat="false" ht="15" hidden="false" customHeight="false" outlineLevel="0" collapsed="false">
      <c r="C994" s="8"/>
      <c r="K994" s="8"/>
    </row>
    <row r="995" customFormat="false" ht="15" hidden="false" customHeight="false" outlineLevel="0" collapsed="false">
      <c r="C995" s="8"/>
      <c r="K995" s="8"/>
    </row>
    <row r="996" customFormat="false" ht="15" hidden="false" customHeight="false" outlineLevel="0" collapsed="false">
      <c r="C996" s="8"/>
      <c r="K996" s="8"/>
    </row>
    <row r="997" customFormat="false" ht="15" hidden="false" customHeight="false" outlineLevel="0" collapsed="false">
      <c r="C997" s="8"/>
      <c r="K997" s="8"/>
    </row>
    <row r="998" customFormat="false" ht="15" hidden="false" customHeight="false" outlineLevel="0" collapsed="false">
      <c r="C998" s="8"/>
      <c r="K998" s="8"/>
    </row>
    <row r="999" customFormat="false" ht="15" hidden="false" customHeight="false" outlineLevel="0" collapsed="false">
      <c r="C999" s="8"/>
      <c r="K999" s="8"/>
    </row>
    <row r="1000" customFormat="false" ht="15" hidden="false" customHeight="false" outlineLevel="0" collapsed="false">
      <c r="C1000" s="8"/>
      <c r="K1000" s="8"/>
    </row>
    <row r="1001" customFormat="false" ht="15" hidden="false" customHeight="false" outlineLevel="0" collapsed="false">
      <c r="C1001" s="8"/>
      <c r="K1001" s="8"/>
    </row>
    <row r="1002" customFormat="false" ht="15" hidden="false" customHeight="false" outlineLevel="0" collapsed="false">
      <c r="C1002" s="8"/>
      <c r="K1002" s="8"/>
    </row>
    <row r="1003" customFormat="false" ht="15" hidden="false" customHeight="false" outlineLevel="0" collapsed="false">
      <c r="C1003" s="8"/>
      <c r="K1003" s="8"/>
    </row>
    <row r="1004" customFormat="false" ht="15" hidden="false" customHeight="false" outlineLevel="0" collapsed="false">
      <c r="C1004" s="8"/>
      <c r="K1004" s="8"/>
    </row>
    <row r="1005" customFormat="false" ht="15" hidden="false" customHeight="false" outlineLevel="0" collapsed="false">
      <c r="C1005" s="8"/>
      <c r="K1005" s="8"/>
    </row>
    <row r="1006" customFormat="false" ht="15" hidden="false" customHeight="false" outlineLevel="0" collapsed="false">
      <c r="C1006" s="8"/>
      <c r="K1006" s="8"/>
    </row>
    <row r="1007" customFormat="false" ht="15" hidden="false" customHeight="false" outlineLevel="0" collapsed="false">
      <c r="C1007" s="8"/>
      <c r="K1007" s="8"/>
    </row>
    <row r="1008" customFormat="false" ht="15" hidden="false" customHeight="false" outlineLevel="0" collapsed="false">
      <c r="C1008" s="8"/>
      <c r="K1008" s="8"/>
    </row>
    <row r="1009" customFormat="false" ht="15" hidden="false" customHeight="false" outlineLevel="0" collapsed="false">
      <c r="C1009" s="8"/>
      <c r="K1009" s="8"/>
    </row>
    <row r="1010" customFormat="false" ht="15" hidden="false" customHeight="false" outlineLevel="0" collapsed="false">
      <c r="C1010" s="8"/>
      <c r="K1010" s="8"/>
    </row>
    <row r="1011" customFormat="false" ht="15" hidden="false" customHeight="false" outlineLevel="0" collapsed="false">
      <c r="C1011" s="8"/>
      <c r="K1011" s="8"/>
    </row>
    <row r="1012" customFormat="false" ht="15" hidden="false" customHeight="false" outlineLevel="0" collapsed="false">
      <c r="C1012" s="8"/>
      <c r="K1012" s="8"/>
    </row>
    <row r="1013" customFormat="false" ht="15" hidden="false" customHeight="false" outlineLevel="0" collapsed="false">
      <c r="C1013" s="8"/>
      <c r="K1013" s="8"/>
    </row>
    <row r="1014" customFormat="false" ht="15" hidden="false" customHeight="false" outlineLevel="0" collapsed="false">
      <c r="C1014" s="8"/>
      <c r="K1014" s="8"/>
    </row>
    <row r="1015" customFormat="false" ht="15" hidden="false" customHeight="false" outlineLevel="0" collapsed="false">
      <c r="C1015" s="8"/>
      <c r="K1015" s="8"/>
    </row>
    <row r="1016" customFormat="false" ht="15" hidden="false" customHeight="false" outlineLevel="0" collapsed="false">
      <c r="C1016" s="8"/>
      <c r="K1016" s="8"/>
    </row>
    <row r="1017" customFormat="false" ht="15" hidden="false" customHeight="false" outlineLevel="0" collapsed="false">
      <c r="C1017" s="8"/>
      <c r="K1017" s="8"/>
    </row>
    <row r="1018" customFormat="false" ht="15" hidden="false" customHeight="false" outlineLevel="0" collapsed="false">
      <c r="C1018" s="8"/>
      <c r="K1018" s="8"/>
    </row>
    <row r="1019" customFormat="false" ht="15" hidden="false" customHeight="false" outlineLevel="0" collapsed="false">
      <c r="C1019" s="8"/>
      <c r="K1019" s="8"/>
    </row>
    <row r="1020" customFormat="false" ht="15" hidden="false" customHeight="false" outlineLevel="0" collapsed="false">
      <c r="C1020" s="8"/>
      <c r="K1020" s="8"/>
    </row>
    <row r="1021" customFormat="false" ht="15" hidden="false" customHeight="false" outlineLevel="0" collapsed="false">
      <c r="C1021" s="8"/>
      <c r="K1021" s="8"/>
    </row>
    <row r="1022" customFormat="false" ht="15" hidden="false" customHeight="false" outlineLevel="0" collapsed="false">
      <c r="C1022" s="8"/>
      <c r="K1022" s="8"/>
    </row>
    <row r="1023" customFormat="false" ht="15" hidden="false" customHeight="false" outlineLevel="0" collapsed="false">
      <c r="C1023" s="8"/>
      <c r="K1023" s="8"/>
    </row>
    <row r="1024" customFormat="false" ht="15" hidden="false" customHeight="false" outlineLevel="0" collapsed="false">
      <c r="C1024" s="8"/>
      <c r="K1024" s="8"/>
    </row>
    <row r="1025" customFormat="false" ht="15" hidden="false" customHeight="false" outlineLevel="0" collapsed="false">
      <c r="C1025" s="8"/>
      <c r="K1025" s="8"/>
    </row>
    <row r="1026" customFormat="false" ht="15" hidden="false" customHeight="false" outlineLevel="0" collapsed="false">
      <c r="C1026" s="8"/>
      <c r="K1026" s="8"/>
    </row>
    <row r="1027" customFormat="false" ht="15" hidden="false" customHeight="false" outlineLevel="0" collapsed="false">
      <c r="C1027" s="8"/>
      <c r="K1027" s="8"/>
    </row>
    <row r="1028" customFormat="false" ht="15" hidden="false" customHeight="false" outlineLevel="0" collapsed="false">
      <c r="C1028" s="8"/>
      <c r="K1028" s="8"/>
    </row>
    <row r="1029" customFormat="false" ht="15" hidden="false" customHeight="false" outlineLevel="0" collapsed="false">
      <c r="C1029" s="8"/>
      <c r="K1029" s="8"/>
    </row>
    <row r="1030" customFormat="false" ht="15" hidden="false" customHeight="false" outlineLevel="0" collapsed="false">
      <c r="C1030" s="8"/>
      <c r="K1030" s="8"/>
    </row>
    <row r="1031" customFormat="false" ht="15" hidden="false" customHeight="false" outlineLevel="0" collapsed="false">
      <c r="C1031" s="8"/>
      <c r="K1031" s="8"/>
    </row>
    <row r="1032" customFormat="false" ht="15" hidden="false" customHeight="false" outlineLevel="0" collapsed="false">
      <c r="C1032" s="8"/>
      <c r="K1032" s="8"/>
    </row>
    <row r="1033" customFormat="false" ht="15" hidden="false" customHeight="false" outlineLevel="0" collapsed="false">
      <c r="C1033" s="8"/>
      <c r="K1033" s="8"/>
    </row>
    <row r="1034" customFormat="false" ht="15" hidden="false" customHeight="false" outlineLevel="0" collapsed="false">
      <c r="C1034" s="8"/>
      <c r="K1034" s="8"/>
    </row>
    <row r="1035" customFormat="false" ht="15" hidden="false" customHeight="false" outlineLevel="0" collapsed="false">
      <c r="C1035" s="8"/>
      <c r="K1035" s="8"/>
    </row>
    <row r="1036" customFormat="false" ht="15" hidden="false" customHeight="false" outlineLevel="0" collapsed="false">
      <c r="C1036" s="8"/>
      <c r="K1036" s="8"/>
    </row>
    <row r="1037" customFormat="false" ht="15" hidden="false" customHeight="false" outlineLevel="0" collapsed="false">
      <c r="C1037" s="8"/>
      <c r="K1037" s="8"/>
    </row>
    <row r="1038" customFormat="false" ht="15" hidden="false" customHeight="false" outlineLevel="0" collapsed="false">
      <c r="C1038" s="8"/>
      <c r="K1038" s="8"/>
    </row>
    <row r="1039" customFormat="false" ht="15" hidden="false" customHeight="false" outlineLevel="0" collapsed="false">
      <c r="C1039" s="8"/>
      <c r="K1039" s="8"/>
    </row>
    <row r="1040" customFormat="false" ht="15" hidden="false" customHeight="false" outlineLevel="0" collapsed="false">
      <c r="C1040" s="8"/>
      <c r="K1040" s="8"/>
    </row>
    <row r="1041" customFormat="false" ht="15" hidden="false" customHeight="false" outlineLevel="0" collapsed="false">
      <c r="C1041" s="8"/>
      <c r="K1041" s="8"/>
    </row>
    <row r="1042" customFormat="false" ht="15" hidden="false" customHeight="false" outlineLevel="0" collapsed="false">
      <c r="C1042" s="8"/>
      <c r="K1042" s="8"/>
    </row>
    <row r="1043" customFormat="false" ht="15" hidden="false" customHeight="false" outlineLevel="0" collapsed="false">
      <c r="C1043" s="8"/>
      <c r="K1043" s="8"/>
    </row>
    <row r="1044" customFormat="false" ht="15" hidden="false" customHeight="false" outlineLevel="0" collapsed="false">
      <c r="C1044" s="8"/>
      <c r="K1044" s="8"/>
    </row>
    <row r="1045" customFormat="false" ht="15" hidden="false" customHeight="false" outlineLevel="0" collapsed="false">
      <c r="C1045" s="8"/>
      <c r="K1045" s="8"/>
    </row>
    <row r="1046" customFormat="false" ht="15" hidden="false" customHeight="false" outlineLevel="0" collapsed="false">
      <c r="C1046" s="8"/>
      <c r="K1046" s="8"/>
    </row>
    <row r="1047" customFormat="false" ht="15" hidden="false" customHeight="false" outlineLevel="0" collapsed="false">
      <c r="C1047" s="8"/>
      <c r="K1047" s="8"/>
    </row>
    <row r="1048" customFormat="false" ht="15" hidden="false" customHeight="false" outlineLevel="0" collapsed="false">
      <c r="C1048" s="8"/>
      <c r="K1048" s="8"/>
    </row>
    <row r="1049" customFormat="false" ht="15" hidden="false" customHeight="false" outlineLevel="0" collapsed="false">
      <c r="C1049" s="8"/>
      <c r="K1049" s="8"/>
    </row>
    <row r="1050" customFormat="false" ht="15" hidden="false" customHeight="false" outlineLevel="0" collapsed="false">
      <c r="C1050" s="8"/>
      <c r="K1050" s="8"/>
    </row>
    <row r="1051" customFormat="false" ht="15" hidden="false" customHeight="false" outlineLevel="0" collapsed="false">
      <c r="C1051" s="8"/>
      <c r="K1051" s="8"/>
    </row>
    <row r="1052" customFormat="false" ht="15" hidden="false" customHeight="false" outlineLevel="0" collapsed="false">
      <c r="C1052" s="8"/>
      <c r="K1052" s="8"/>
    </row>
    <row r="1053" customFormat="false" ht="15" hidden="false" customHeight="false" outlineLevel="0" collapsed="false">
      <c r="C1053" s="8"/>
      <c r="K1053" s="8"/>
    </row>
    <row r="1054" customFormat="false" ht="15" hidden="false" customHeight="false" outlineLevel="0" collapsed="false">
      <c r="C1054" s="8"/>
      <c r="K1054" s="8"/>
    </row>
    <row r="1055" customFormat="false" ht="15" hidden="false" customHeight="false" outlineLevel="0" collapsed="false">
      <c r="C1055" s="8"/>
      <c r="K1055" s="8"/>
    </row>
    <row r="1056" customFormat="false" ht="15" hidden="false" customHeight="false" outlineLevel="0" collapsed="false">
      <c r="C1056" s="8"/>
      <c r="K1056" s="8"/>
    </row>
    <row r="1057" customFormat="false" ht="15" hidden="false" customHeight="false" outlineLevel="0" collapsed="false">
      <c r="C1057" s="8"/>
      <c r="K1057" s="8"/>
    </row>
    <row r="1058" customFormat="false" ht="15" hidden="false" customHeight="false" outlineLevel="0" collapsed="false">
      <c r="C1058" s="8"/>
      <c r="K1058" s="8"/>
    </row>
    <row r="1059" customFormat="false" ht="15" hidden="false" customHeight="false" outlineLevel="0" collapsed="false">
      <c r="C1059" s="8"/>
      <c r="K1059" s="8"/>
    </row>
    <row r="1060" customFormat="false" ht="15" hidden="false" customHeight="false" outlineLevel="0" collapsed="false">
      <c r="C1060" s="8"/>
      <c r="K1060" s="8"/>
    </row>
    <row r="1061" customFormat="false" ht="15" hidden="false" customHeight="false" outlineLevel="0" collapsed="false">
      <c r="C1061" s="8"/>
      <c r="K1061" s="8"/>
    </row>
    <row r="1062" customFormat="false" ht="15" hidden="false" customHeight="false" outlineLevel="0" collapsed="false">
      <c r="C1062" s="8"/>
      <c r="K1062" s="8"/>
    </row>
    <row r="1063" customFormat="false" ht="15" hidden="false" customHeight="false" outlineLevel="0" collapsed="false">
      <c r="C1063" s="8"/>
      <c r="K1063" s="8"/>
    </row>
    <row r="1064" customFormat="false" ht="15" hidden="false" customHeight="false" outlineLevel="0" collapsed="false">
      <c r="C1064" s="8"/>
      <c r="K1064" s="8"/>
    </row>
    <row r="1065" customFormat="false" ht="15" hidden="false" customHeight="false" outlineLevel="0" collapsed="false">
      <c r="C1065" s="8"/>
      <c r="K1065" s="8"/>
    </row>
    <row r="1066" customFormat="false" ht="15" hidden="false" customHeight="false" outlineLevel="0" collapsed="false">
      <c r="C1066" s="8"/>
      <c r="K1066" s="8"/>
    </row>
    <row r="1067" customFormat="false" ht="15" hidden="false" customHeight="false" outlineLevel="0" collapsed="false">
      <c r="C1067" s="8"/>
      <c r="K1067" s="8"/>
    </row>
    <row r="1068" customFormat="false" ht="15" hidden="false" customHeight="false" outlineLevel="0" collapsed="false">
      <c r="C1068" s="8"/>
      <c r="K1068" s="8"/>
    </row>
    <row r="1069" customFormat="false" ht="15" hidden="false" customHeight="false" outlineLevel="0" collapsed="false">
      <c r="C1069" s="8"/>
      <c r="K1069" s="8"/>
    </row>
    <row r="1070" customFormat="false" ht="15" hidden="false" customHeight="false" outlineLevel="0" collapsed="false">
      <c r="C1070" s="8"/>
      <c r="K1070" s="8"/>
    </row>
    <row r="1071" customFormat="false" ht="15" hidden="false" customHeight="false" outlineLevel="0" collapsed="false">
      <c r="C1071" s="8"/>
      <c r="K1071" s="8"/>
    </row>
    <row r="1072" customFormat="false" ht="15" hidden="false" customHeight="false" outlineLevel="0" collapsed="false">
      <c r="C1072" s="8"/>
      <c r="K1072" s="8"/>
    </row>
    <row r="1073" customFormat="false" ht="15" hidden="false" customHeight="false" outlineLevel="0" collapsed="false">
      <c r="C1073" s="8"/>
      <c r="K1073" s="8"/>
    </row>
    <row r="1074" customFormat="false" ht="15" hidden="false" customHeight="false" outlineLevel="0" collapsed="false">
      <c r="C1074" s="8"/>
      <c r="K1074" s="8"/>
    </row>
    <row r="1075" customFormat="false" ht="15" hidden="false" customHeight="false" outlineLevel="0" collapsed="false">
      <c r="C1075" s="8"/>
      <c r="K1075" s="8"/>
    </row>
    <row r="1076" customFormat="false" ht="15" hidden="false" customHeight="false" outlineLevel="0" collapsed="false">
      <c r="C1076" s="8"/>
      <c r="K1076" s="8"/>
    </row>
    <row r="1077" customFormat="false" ht="15" hidden="false" customHeight="false" outlineLevel="0" collapsed="false">
      <c r="C1077" s="8"/>
      <c r="K1077" s="8"/>
    </row>
    <row r="1078" customFormat="false" ht="15" hidden="false" customHeight="false" outlineLevel="0" collapsed="false">
      <c r="C1078" s="8"/>
      <c r="K1078" s="8"/>
    </row>
    <row r="1079" customFormat="false" ht="15" hidden="false" customHeight="false" outlineLevel="0" collapsed="false">
      <c r="C1079" s="8"/>
      <c r="K1079" s="8"/>
    </row>
    <row r="1080" customFormat="false" ht="15" hidden="false" customHeight="false" outlineLevel="0" collapsed="false">
      <c r="C1080" s="8"/>
      <c r="K1080" s="8"/>
    </row>
    <row r="1081" customFormat="false" ht="15" hidden="false" customHeight="false" outlineLevel="0" collapsed="false">
      <c r="C1081" s="8"/>
      <c r="K1081" s="8"/>
    </row>
    <row r="1082" customFormat="false" ht="15" hidden="false" customHeight="false" outlineLevel="0" collapsed="false">
      <c r="C1082" s="8"/>
      <c r="K1082" s="8"/>
    </row>
    <row r="1083" customFormat="false" ht="15" hidden="false" customHeight="false" outlineLevel="0" collapsed="false">
      <c r="C1083" s="8"/>
      <c r="K1083" s="8"/>
    </row>
    <row r="1084" customFormat="false" ht="15" hidden="false" customHeight="false" outlineLevel="0" collapsed="false">
      <c r="C1084" s="8"/>
      <c r="K1084" s="8"/>
    </row>
    <row r="1085" customFormat="false" ht="15" hidden="false" customHeight="false" outlineLevel="0" collapsed="false">
      <c r="C1085" s="8"/>
      <c r="K1085" s="8"/>
    </row>
    <row r="1086" customFormat="false" ht="15" hidden="false" customHeight="false" outlineLevel="0" collapsed="false">
      <c r="C1086" s="8"/>
      <c r="K1086" s="8"/>
    </row>
    <row r="1087" customFormat="false" ht="15" hidden="false" customHeight="false" outlineLevel="0" collapsed="false">
      <c r="C1087" s="8"/>
      <c r="K1087" s="8"/>
    </row>
    <row r="1088" customFormat="false" ht="15" hidden="false" customHeight="false" outlineLevel="0" collapsed="false">
      <c r="C1088" s="8"/>
      <c r="K1088" s="8"/>
    </row>
    <row r="1089" customFormat="false" ht="15" hidden="false" customHeight="false" outlineLevel="0" collapsed="false">
      <c r="C1089" s="8"/>
      <c r="K1089" s="8"/>
    </row>
    <row r="1090" customFormat="false" ht="15" hidden="false" customHeight="false" outlineLevel="0" collapsed="false">
      <c r="C1090" s="8"/>
      <c r="K1090" s="8"/>
    </row>
    <row r="1091" customFormat="false" ht="15" hidden="false" customHeight="false" outlineLevel="0" collapsed="false">
      <c r="C1091" s="8"/>
      <c r="K1091" s="8"/>
    </row>
    <row r="1092" customFormat="false" ht="15" hidden="false" customHeight="false" outlineLevel="0" collapsed="false">
      <c r="C1092" s="8"/>
      <c r="K1092" s="8"/>
    </row>
    <row r="1093" customFormat="false" ht="15" hidden="false" customHeight="false" outlineLevel="0" collapsed="false">
      <c r="C1093" s="8"/>
      <c r="K1093" s="8"/>
    </row>
    <row r="1094" customFormat="false" ht="15" hidden="false" customHeight="false" outlineLevel="0" collapsed="false">
      <c r="C1094" s="8"/>
      <c r="K1094" s="8"/>
    </row>
    <row r="1095" customFormat="false" ht="15" hidden="false" customHeight="false" outlineLevel="0" collapsed="false">
      <c r="C1095" s="8"/>
      <c r="K1095" s="8"/>
    </row>
    <row r="1096" customFormat="false" ht="15" hidden="false" customHeight="false" outlineLevel="0" collapsed="false">
      <c r="C1096" s="8"/>
      <c r="K1096" s="8"/>
    </row>
    <row r="1097" customFormat="false" ht="15" hidden="false" customHeight="false" outlineLevel="0" collapsed="false">
      <c r="C1097" s="8"/>
      <c r="K1097" s="8"/>
    </row>
    <row r="1098" customFormat="false" ht="15" hidden="false" customHeight="false" outlineLevel="0" collapsed="false">
      <c r="C1098" s="8"/>
      <c r="K1098" s="8"/>
    </row>
    <row r="1099" customFormat="false" ht="15" hidden="false" customHeight="false" outlineLevel="0" collapsed="false">
      <c r="C1099" s="8"/>
      <c r="K1099" s="8"/>
    </row>
    <row r="1100" customFormat="false" ht="15" hidden="false" customHeight="false" outlineLevel="0" collapsed="false">
      <c r="C1100" s="8"/>
      <c r="K1100" s="8"/>
    </row>
    <row r="1101" customFormat="false" ht="15" hidden="false" customHeight="false" outlineLevel="0" collapsed="false">
      <c r="C1101" s="8"/>
      <c r="K1101" s="8"/>
    </row>
    <row r="1102" customFormat="false" ht="15" hidden="false" customHeight="false" outlineLevel="0" collapsed="false">
      <c r="C1102" s="8"/>
      <c r="K1102" s="8"/>
    </row>
    <row r="1103" customFormat="false" ht="15" hidden="false" customHeight="false" outlineLevel="0" collapsed="false">
      <c r="C1103" s="8"/>
      <c r="K1103" s="8"/>
    </row>
    <row r="1104" customFormat="false" ht="15" hidden="false" customHeight="false" outlineLevel="0" collapsed="false">
      <c r="C1104" s="8"/>
      <c r="K1104" s="8"/>
    </row>
    <row r="1105" customFormat="false" ht="15" hidden="false" customHeight="false" outlineLevel="0" collapsed="false">
      <c r="C1105" s="8"/>
      <c r="K1105" s="8"/>
    </row>
    <row r="1106" customFormat="false" ht="15" hidden="false" customHeight="false" outlineLevel="0" collapsed="false">
      <c r="C1106" s="8"/>
      <c r="K1106" s="8"/>
    </row>
    <row r="1107" customFormat="false" ht="15" hidden="false" customHeight="false" outlineLevel="0" collapsed="false">
      <c r="C1107" s="8"/>
      <c r="K1107" s="8"/>
    </row>
    <row r="1108" customFormat="false" ht="15" hidden="false" customHeight="false" outlineLevel="0" collapsed="false">
      <c r="C1108" s="8"/>
      <c r="K1108" s="8"/>
    </row>
    <row r="1109" customFormat="false" ht="15" hidden="false" customHeight="false" outlineLevel="0" collapsed="false">
      <c r="C1109" s="8"/>
      <c r="K1109" s="8"/>
    </row>
    <row r="1110" customFormat="false" ht="15" hidden="false" customHeight="false" outlineLevel="0" collapsed="false">
      <c r="C1110" s="8"/>
      <c r="K1110" s="8"/>
    </row>
    <row r="1111" customFormat="false" ht="15" hidden="false" customHeight="false" outlineLevel="0" collapsed="false">
      <c r="C1111" s="8"/>
      <c r="K1111" s="8"/>
    </row>
    <row r="1112" customFormat="false" ht="15" hidden="false" customHeight="false" outlineLevel="0" collapsed="false">
      <c r="C1112" s="8"/>
      <c r="K1112" s="8"/>
    </row>
    <row r="1113" customFormat="false" ht="15" hidden="false" customHeight="false" outlineLevel="0" collapsed="false">
      <c r="C1113" s="8"/>
      <c r="K1113" s="8"/>
    </row>
    <row r="1114" customFormat="false" ht="15" hidden="false" customHeight="false" outlineLevel="0" collapsed="false">
      <c r="C1114" s="8"/>
      <c r="K1114" s="8"/>
    </row>
    <row r="1115" customFormat="false" ht="15" hidden="false" customHeight="false" outlineLevel="0" collapsed="false">
      <c r="C1115" s="8"/>
      <c r="K1115" s="8"/>
    </row>
    <row r="1116" customFormat="false" ht="15" hidden="false" customHeight="false" outlineLevel="0" collapsed="false">
      <c r="C1116" s="8"/>
      <c r="K1116" s="8"/>
    </row>
    <row r="1117" customFormat="false" ht="15" hidden="false" customHeight="false" outlineLevel="0" collapsed="false">
      <c r="C1117" s="8"/>
      <c r="K1117" s="8"/>
    </row>
    <row r="1118" customFormat="false" ht="15" hidden="false" customHeight="false" outlineLevel="0" collapsed="false">
      <c r="C1118" s="8"/>
      <c r="K1118" s="8"/>
    </row>
    <row r="1119" customFormat="false" ht="15" hidden="false" customHeight="false" outlineLevel="0" collapsed="false">
      <c r="C1119" s="8"/>
      <c r="K1119" s="8"/>
    </row>
    <row r="1120" customFormat="false" ht="15" hidden="false" customHeight="false" outlineLevel="0" collapsed="false">
      <c r="C1120" s="8"/>
      <c r="K1120" s="8"/>
    </row>
    <row r="1121" customFormat="false" ht="15" hidden="false" customHeight="false" outlineLevel="0" collapsed="false">
      <c r="C1121" s="8"/>
      <c r="K1121" s="8"/>
    </row>
    <row r="1122" customFormat="false" ht="15" hidden="false" customHeight="false" outlineLevel="0" collapsed="false">
      <c r="C1122" s="8"/>
      <c r="K1122" s="8"/>
    </row>
    <row r="1123" customFormat="false" ht="15" hidden="false" customHeight="false" outlineLevel="0" collapsed="false">
      <c r="C1123" s="8"/>
      <c r="K1123" s="8"/>
    </row>
    <row r="1124" customFormat="false" ht="15" hidden="false" customHeight="false" outlineLevel="0" collapsed="false">
      <c r="C1124" s="8"/>
      <c r="K1124" s="8"/>
    </row>
    <row r="1125" customFormat="false" ht="15" hidden="false" customHeight="false" outlineLevel="0" collapsed="false">
      <c r="C1125" s="8"/>
      <c r="K1125" s="8"/>
    </row>
    <row r="1126" customFormat="false" ht="15" hidden="false" customHeight="false" outlineLevel="0" collapsed="false">
      <c r="C1126" s="8"/>
      <c r="K1126" s="8"/>
    </row>
    <row r="1127" customFormat="false" ht="15" hidden="false" customHeight="false" outlineLevel="0" collapsed="false">
      <c r="C1127" s="8"/>
      <c r="K1127" s="8"/>
    </row>
    <row r="1128" customFormat="false" ht="15" hidden="false" customHeight="false" outlineLevel="0" collapsed="false">
      <c r="C1128" s="8"/>
      <c r="K1128" s="8"/>
    </row>
  </sheetData>
  <autoFilter ref="A1:Q128"/>
  <dataValidations count="3">
    <dataValidation allowBlank="true" errorStyle="stop" operator="between" showDropDown="false" showErrorMessage="false" showInputMessage="false" sqref="C2:C1128" type="list">
      <formula1>"Intergovernmental,UN agency,EU institution,International NGO,International foundation or union"</formula1>
      <formula2>0</formula2>
    </dataValidation>
    <dataValidation allowBlank="true" errorStyle="stop" operator="between" showDropDown="false" showErrorMessage="false" showInputMessage="false" sqref="K2:K1128" type="list">
      <formula1>"Yes,No,Not stated"</formula1>
      <formula2>0</formula2>
    </dataValidation>
    <dataValidation allowBlank="true" errorStyle="stop" operator="between" showDropDown="false" showErrorMessage="false" showInputMessage="false" sqref="J2:J1128" type="list">
      <formula1>"general contact page,programme or general inbox,media/press contact page"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8"/>
    <col collapsed="false" customWidth="true" hidden="false" outlineLevel="0" max="3" min="3" style="1" width="38"/>
    <col collapsed="false" customWidth="true" hidden="false" outlineLevel="0" max="4" min="4" style="1" width="50"/>
    <col collapsed="false" customWidth="true" hidden="false" outlineLevel="0" max="11" min="5" style="1" width="18"/>
    <col collapsed="false" customWidth="true" hidden="false" outlineLevel="0" max="12" min="12" style="1" width="40"/>
    <col collapsed="false" customWidth="true" hidden="false" outlineLevel="0" max="13" min="13" style="1" width="18"/>
    <col collapsed="false" customWidth="true" hidden="false" outlineLevel="0" max="14" min="14" style="1" width="30"/>
    <col collapsed="false" customWidth="true" hidden="false" outlineLevel="0" max="15" min="15" style="1" width="40"/>
    <col collapsed="false" customWidth="true" hidden="false" outlineLevel="0" max="16" min="16" style="1" width="18"/>
    <col collapsed="false" customWidth="true" hidden="false" outlineLevel="0" max="17" min="17" style="1" width="28"/>
    <col collapsed="false" customWidth="true" hidden="false" outlineLevel="0" max="20" min="18" style="1" width="18"/>
    <col collapsed="false" customWidth="true" hidden="false" outlineLevel="0" max="22" min="21" style="1" width="36"/>
    <col collapsed="false" customWidth="true" hidden="false" outlineLevel="0" max="24" min="23" style="1" width="18"/>
    <col collapsed="false" customWidth="true" hidden="false" outlineLevel="0" max="25" min="25" style="1" width="45"/>
    <col collapsed="false" customWidth="true" hidden="false" outlineLevel="0" max="26" min="26" style="1" width="18"/>
  </cols>
  <sheetData>
    <row r="1" customFormat="false" ht="15" hidden="false" customHeight="true" outlineLevel="0" collapsed="false">
      <c r="A1" s="5" t="s">
        <v>903</v>
      </c>
      <c r="B1" s="5" t="s">
        <v>12</v>
      </c>
      <c r="C1" s="5" t="s">
        <v>13</v>
      </c>
      <c r="D1" s="5" t="s">
        <v>904</v>
      </c>
      <c r="E1" s="5" t="s">
        <v>905</v>
      </c>
      <c r="F1" s="5" t="s">
        <v>906</v>
      </c>
      <c r="G1" s="5" t="s">
        <v>907</v>
      </c>
      <c r="H1" s="5" t="s">
        <v>908</v>
      </c>
      <c r="I1" s="5" t="s">
        <v>909</v>
      </c>
      <c r="J1" s="5" t="s">
        <v>910</v>
      </c>
      <c r="K1" s="5" t="s">
        <v>911</v>
      </c>
      <c r="L1" s="5" t="s">
        <v>912</v>
      </c>
      <c r="M1" s="5" t="s">
        <v>913</v>
      </c>
      <c r="N1" s="5" t="s">
        <v>914</v>
      </c>
      <c r="O1" s="5" t="s">
        <v>915</v>
      </c>
      <c r="P1" s="5" t="s">
        <v>916</v>
      </c>
      <c r="Q1" s="5" t="s">
        <v>917</v>
      </c>
      <c r="R1" s="5" t="s">
        <v>918</v>
      </c>
      <c r="S1" s="5" t="s">
        <v>919</v>
      </c>
      <c r="T1" s="5" t="s">
        <v>920</v>
      </c>
      <c r="U1" s="5" t="s">
        <v>921</v>
      </c>
      <c r="V1" s="5" t="s">
        <v>922</v>
      </c>
      <c r="W1" s="5" t="s">
        <v>923</v>
      </c>
      <c r="X1" s="5" t="s">
        <v>924</v>
      </c>
      <c r="Y1" s="5" t="s">
        <v>925</v>
      </c>
      <c r="Z1" s="5" t="s">
        <v>27</v>
      </c>
    </row>
    <row r="2" customFormat="false" ht="45.75" hidden="false" customHeight="true" outlineLevel="0" collapsed="false">
      <c r="A2" s="6" t="s">
        <v>926</v>
      </c>
      <c r="B2" s="6" t="s">
        <v>29</v>
      </c>
      <c r="C2" s="6" t="s">
        <v>927</v>
      </c>
      <c r="D2" s="7" t="s">
        <v>928</v>
      </c>
      <c r="E2" s="6" t="s">
        <v>929</v>
      </c>
      <c r="F2" s="6" t="s">
        <v>930</v>
      </c>
      <c r="G2" s="6" t="s">
        <v>931</v>
      </c>
      <c r="H2" s="6" t="s">
        <v>932</v>
      </c>
      <c r="I2" s="6"/>
      <c r="J2" s="6"/>
      <c r="K2" s="6"/>
      <c r="L2" s="7" t="s">
        <v>933</v>
      </c>
      <c r="M2" s="6" t="n">
        <v>44</v>
      </c>
      <c r="N2" s="7" t="s">
        <v>934</v>
      </c>
      <c r="O2" s="7"/>
      <c r="P2" s="6"/>
      <c r="Q2" s="7" t="s">
        <v>935</v>
      </c>
      <c r="R2" s="6" t="s">
        <v>396</v>
      </c>
      <c r="S2" s="6" t="s">
        <v>936</v>
      </c>
      <c r="T2" s="6"/>
      <c r="U2" s="6" t="s">
        <v>937</v>
      </c>
      <c r="V2" s="6" t="s">
        <v>937</v>
      </c>
      <c r="W2" s="6" t="s">
        <v>65</v>
      </c>
      <c r="X2" s="6" t="s">
        <v>938</v>
      </c>
      <c r="Y2" s="7" t="s">
        <v>939</v>
      </c>
      <c r="Z2" s="6" t="s">
        <v>39</v>
      </c>
    </row>
    <row r="3" customFormat="false" ht="34.5" hidden="false" customHeight="true" outlineLevel="0" collapsed="false">
      <c r="A3" s="6" t="s">
        <v>940</v>
      </c>
      <c r="B3" s="6" t="s">
        <v>41</v>
      </c>
      <c r="C3" s="6" t="s">
        <v>941</v>
      </c>
      <c r="D3" s="7" t="s">
        <v>942</v>
      </c>
      <c r="E3" s="6" t="s">
        <v>943</v>
      </c>
      <c r="F3" s="6" t="s">
        <v>944</v>
      </c>
      <c r="G3" s="6" t="s">
        <v>945</v>
      </c>
      <c r="H3" s="6" t="s">
        <v>932</v>
      </c>
      <c r="I3" s="6"/>
      <c r="J3" s="6"/>
      <c r="K3" s="6"/>
      <c r="L3" s="7" t="s">
        <v>946</v>
      </c>
      <c r="M3" s="6" t="n">
        <v>12</v>
      </c>
      <c r="N3" s="7" t="s">
        <v>947</v>
      </c>
      <c r="O3" s="7"/>
      <c r="P3" s="6"/>
      <c r="Q3" s="7" t="s">
        <v>43</v>
      </c>
      <c r="R3" s="6" t="s">
        <v>32</v>
      </c>
      <c r="S3" s="6" t="s">
        <v>936</v>
      </c>
      <c r="T3" s="6"/>
      <c r="U3" s="6"/>
      <c r="V3" s="6" t="s">
        <v>948</v>
      </c>
      <c r="W3" s="6" t="s">
        <v>55</v>
      </c>
      <c r="X3" s="6" t="s">
        <v>938</v>
      </c>
      <c r="Y3" s="7" t="s">
        <v>949</v>
      </c>
      <c r="Z3" s="6" t="s">
        <v>39</v>
      </c>
    </row>
    <row r="4" customFormat="false" ht="34.5" hidden="false" customHeight="true" outlineLevel="0" collapsed="false">
      <c r="A4" s="6" t="s">
        <v>950</v>
      </c>
      <c r="B4" s="6" t="s">
        <v>41</v>
      </c>
      <c r="C4" s="6" t="s">
        <v>951</v>
      </c>
      <c r="D4" s="7" t="s">
        <v>952</v>
      </c>
      <c r="E4" s="6" t="s">
        <v>943</v>
      </c>
      <c r="F4" s="6" t="s">
        <v>944</v>
      </c>
      <c r="G4" s="6" t="s">
        <v>953</v>
      </c>
      <c r="H4" s="6" t="s">
        <v>954</v>
      </c>
      <c r="I4" s="6" t="n">
        <v>2500</v>
      </c>
      <c r="J4" s="6" t="s">
        <v>955</v>
      </c>
      <c r="K4" s="6" t="s">
        <v>956</v>
      </c>
      <c r="L4" s="7" t="s">
        <v>957</v>
      </c>
      <c r="M4" s="6" t="n">
        <v>24</v>
      </c>
      <c r="N4" s="7" t="s">
        <v>958</v>
      </c>
      <c r="O4" s="7"/>
      <c r="P4" s="6"/>
      <c r="Q4" s="7" t="s">
        <v>959</v>
      </c>
      <c r="R4" s="6" t="s">
        <v>396</v>
      </c>
      <c r="S4" s="6" t="s">
        <v>960</v>
      </c>
      <c r="T4" s="6"/>
      <c r="U4" s="6"/>
      <c r="V4" s="6" t="s">
        <v>961</v>
      </c>
      <c r="W4" s="6" t="s">
        <v>55</v>
      </c>
      <c r="X4" s="6" t="s">
        <v>938</v>
      </c>
      <c r="Y4" s="7" t="s">
        <v>962</v>
      </c>
      <c r="Z4" s="6" t="s">
        <v>39</v>
      </c>
    </row>
    <row r="5" customFormat="false" ht="34.5" hidden="false" customHeight="true" outlineLevel="0" collapsed="false">
      <c r="A5" s="6" t="s">
        <v>963</v>
      </c>
      <c r="B5" s="6" t="s">
        <v>49</v>
      </c>
      <c r="C5" s="6" t="s">
        <v>964</v>
      </c>
      <c r="D5" s="7" t="s">
        <v>965</v>
      </c>
      <c r="E5" s="6" t="s">
        <v>943</v>
      </c>
      <c r="F5" s="6" t="s">
        <v>944</v>
      </c>
      <c r="G5" s="6" t="s">
        <v>966</v>
      </c>
      <c r="H5" s="6" t="s">
        <v>967</v>
      </c>
      <c r="I5" s="6"/>
      <c r="J5" s="6"/>
      <c r="K5" s="6"/>
      <c r="L5" s="7" t="s">
        <v>968</v>
      </c>
      <c r="M5" s="6" t="n">
        <v>24</v>
      </c>
      <c r="N5" s="7" t="s">
        <v>969</v>
      </c>
      <c r="O5" s="7"/>
      <c r="P5" s="6"/>
      <c r="Q5" s="7" t="s">
        <v>51</v>
      </c>
      <c r="R5" s="6" t="s">
        <v>32</v>
      </c>
      <c r="S5" s="6" t="s">
        <v>936</v>
      </c>
      <c r="T5" s="6"/>
      <c r="U5" s="6" t="s">
        <v>54</v>
      </c>
      <c r="V5" s="6" t="s">
        <v>54</v>
      </c>
      <c r="W5" s="6" t="s">
        <v>65</v>
      </c>
      <c r="X5" s="6" t="s">
        <v>938</v>
      </c>
      <c r="Y5" s="7" t="s">
        <v>970</v>
      </c>
      <c r="Z5" s="6" t="s">
        <v>39</v>
      </c>
    </row>
    <row r="6" customFormat="false" ht="34.5" hidden="false" customHeight="true" outlineLevel="0" collapsed="false">
      <c r="A6" s="6" t="s">
        <v>971</v>
      </c>
      <c r="B6" s="6" t="s">
        <v>59</v>
      </c>
      <c r="C6" s="6" t="s">
        <v>972</v>
      </c>
      <c r="D6" s="7" t="s">
        <v>973</v>
      </c>
      <c r="E6" s="6" t="s">
        <v>943</v>
      </c>
      <c r="F6" s="6" t="s">
        <v>944</v>
      </c>
      <c r="G6" s="6" t="s">
        <v>974</v>
      </c>
      <c r="H6" s="6" t="s">
        <v>954</v>
      </c>
      <c r="I6" s="6"/>
      <c r="J6" s="6"/>
      <c r="K6" s="6"/>
      <c r="L6" s="7" t="s">
        <v>975</v>
      </c>
      <c r="M6" s="6" t="n">
        <v>24</v>
      </c>
      <c r="N6" s="7" t="s">
        <v>969</v>
      </c>
      <c r="O6" s="7"/>
      <c r="P6" s="6"/>
      <c r="Q6" s="7" t="s">
        <v>51</v>
      </c>
      <c r="R6" s="6" t="s">
        <v>32</v>
      </c>
      <c r="S6" s="6" t="s">
        <v>936</v>
      </c>
      <c r="T6" s="6"/>
      <c r="U6" s="6"/>
      <c r="V6" s="6" t="s">
        <v>976</v>
      </c>
      <c r="W6" s="6" t="s">
        <v>55</v>
      </c>
      <c r="X6" s="6" t="s">
        <v>938</v>
      </c>
      <c r="Y6" s="7" t="s">
        <v>962</v>
      </c>
      <c r="Z6" s="6" t="s">
        <v>39</v>
      </c>
    </row>
    <row r="7" customFormat="false" ht="34.5" hidden="false" customHeight="true" outlineLevel="0" collapsed="false">
      <c r="A7" s="6" t="s">
        <v>977</v>
      </c>
      <c r="B7" s="6" t="s">
        <v>74</v>
      </c>
      <c r="C7" s="6" t="s">
        <v>978</v>
      </c>
      <c r="D7" s="7" t="s">
        <v>979</v>
      </c>
      <c r="E7" s="6" t="s">
        <v>943</v>
      </c>
      <c r="F7" s="6" t="s">
        <v>944</v>
      </c>
      <c r="G7" s="6" t="s">
        <v>980</v>
      </c>
      <c r="H7" s="6" t="s">
        <v>932</v>
      </c>
      <c r="I7" s="6"/>
      <c r="J7" s="6"/>
      <c r="K7" s="6"/>
      <c r="L7" s="7" t="s">
        <v>981</v>
      </c>
      <c r="M7" s="6" t="n">
        <v>24</v>
      </c>
      <c r="N7" s="7" t="s">
        <v>982</v>
      </c>
      <c r="O7" s="7"/>
      <c r="P7" s="6"/>
      <c r="Q7" s="7" t="s">
        <v>51</v>
      </c>
      <c r="R7" s="6" t="s">
        <v>32</v>
      </c>
      <c r="S7" s="6" t="s">
        <v>936</v>
      </c>
      <c r="T7" s="6"/>
      <c r="U7" s="6" t="s">
        <v>78</v>
      </c>
      <c r="V7" s="6" t="s">
        <v>78</v>
      </c>
      <c r="W7" s="6" t="s">
        <v>65</v>
      </c>
      <c r="X7" s="6" t="s">
        <v>938</v>
      </c>
      <c r="Y7" s="7" t="s">
        <v>983</v>
      </c>
      <c r="Z7" s="6" t="s">
        <v>39</v>
      </c>
    </row>
    <row r="8" customFormat="false" ht="34.5" hidden="false" customHeight="true" outlineLevel="0" collapsed="false">
      <c r="A8" s="6" t="s">
        <v>984</v>
      </c>
      <c r="B8" s="6" t="s">
        <v>80</v>
      </c>
      <c r="C8" s="6" t="s">
        <v>985</v>
      </c>
      <c r="D8" s="7" t="s">
        <v>986</v>
      </c>
      <c r="E8" s="6" t="s">
        <v>987</v>
      </c>
      <c r="F8" s="6" t="s">
        <v>944</v>
      </c>
      <c r="G8" s="6" t="s">
        <v>988</v>
      </c>
      <c r="H8" s="6" t="s">
        <v>967</v>
      </c>
      <c r="I8" s="6" t="n">
        <v>2000</v>
      </c>
      <c r="J8" s="6" t="s">
        <v>989</v>
      </c>
      <c r="K8" s="6" t="s">
        <v>990</v>
      </c>
      <c r="L8" s="7" t="s">
        <v>991</v>
      </c>
      <c r="M8" s="6" t="n">
        <v>26</v>
      </c>
      <c r="N8" s="7" t="s">
        <v>992</v>
      </c>
      <c r="O8" s="7" t="s">
        <v>993</v>
      </c>
      <c r="P8" s="6" t="s">
        <v>82</v>
      </c>
      <c r="Q8" s="7" t="s">
        <v>82</v>
      </c>
      <c r="R8" s="6" t="s">
        <v>32</v>
      </c>
      <c r="S8" s="6" t="s">
        <v>936</v>
      </c>
      <c r="T8" s="6"/>
      <c r="U8" s="6" t="s">
        <v>85</v>
      </c>
      <c r="V8" s="6" t="s">
        <v>85</v>
      </c>
      <c r="W8" s="6" t="s">
        <v>65</v>
      </c>
      <c r="X8" s="6" t="s">
        <v>994</v>
      </c>
      <c r="Y8" s="7"/>
      <c r="Z8" s="6" t="s">
        <v>39</v>
      </c>
    </row>
    <row r="9" customFormat="false" ht="45.75" hidden="false" customHeight="true" outlineLevel="0" collapsed="false">
      <c r="A9" s="6" t="s">
        <v>995</v>
      </c>
      <c r="B9" s="6" t="s">
        <v>90</v>
      </c>
      <c r="C9" s="6" t="s">
        <v>996</v>
      </c>
      <c r="D9" s="7" t="s">
        <v>997</v>
      </c>
      <c r="E9" s="6" t="s">
        <v>943</v>
      </c>
      <c r="F9" s="6" t="s">
        <v>944</v>
      </c>
      <c r="G9" s="6" t="s">
        <v>998</v>
      </c>
      <c r="H9" s="6" t="s">
        <v>954</v>
      </c>
      <c r="I9" s="6"/>
      <c r="J9" s="6"/>
      <c r="K9" s="6"/>
      <c r="L9" s="7" t="s">
        <v>999</v>
      </c>
      <c r="M9" s="6" t="n">
        <v>24</v>
      </c>
      <c r="N9" s="7" t="s">
        <v>1000</v>
      </c>
      <c r="O9" s="7"/>
      <c r="P9" s="6"/>
      <c r="Q9" s="7" t="s">
        <v>92</v>
      </c>
      <c r="R9" s="6" t="s">
        <v>32</v>
      </c>
      <c r="S9" s="6" t="s">
        <v>936</v>
      </c>
      <c r="T9" s="6"/>
      <c r="U9" s="6"/>
      <c r="V9" s="6" t="s">
        <v>1001</v>
      </c>
      <c r="W9" s="6" t="s">
        <v>55</v>
      </c>
      <c r="X9" s="6" t="s">
        <v>938</v>
      </c>
      <c r="Y9" s="7" t="s">
        <v>1002</v>
      </c>
      <c r="Z9" s="6" t="s">
        <v>39</v>
      </c>
    </row>
    <row r="10" customFormat="false" ht="34.5" hidden="false" customHeight="true" outlineLevel="0" collapsed="false">
      <c r="A10" s="6" t="s">
        <v>1003</v>
      </c>
      <c r="B10" s="6" t="s">
        <v>97</v>
      </c>
      <c r="C10" s="6" t="s">
        <v>1004</v>
      </c>
      <c r="D10" s="7" t="s">
        <v>1005</v>
      </c>
      <c r="E10" s="6" t="s">
        <v>1006</v>
      </c>
      <c r="F10" s="6" t="s">
        <v>944</v>
      </c>
      <c r="G10" s="6" t="s">
        <v>945</v>
      </c>
      <c r="H10" s="6" t="s">
        <v>954</v>
      </c>
      <c r="I10" s="6"/>
      <c r="J10" s="6"/>
      <c r="K10" s="6"/>
      <c r="L10" s="7" t="s">
        <v>1007</v>
      </c>
      <c r="M10" s="6" t="n">
        <v>24</v>
      </c>
      <c r="N10" s="7" t="s">
        <v>969</v>
      </c>
      <c r="O10" s="7"/>
      <c r="P10" s="6" t="s">
        <v>599</v>
      </c>
      <c r="Q10" s="7" t="s">
        <v>1008</v>
      </c>
      <c r="R10" s="6" t="s">
        <v>1009</v>
      </c>
      <c r="S10" s="6" t="s">
        <v>936</v>
      </c>
      <c r="T10" s="6"/>
      <c r="U10" s="6" t="s">
        <v>1964</v>
      </c>
      <c r="V10" s="6" t="s">
        <v>1964</v>
      </c>
      <c r="W10" s="6" t="s">
        <v>65</v>
      </c>
      <c r="X10" s="6" t="s">
        <v>1429</v>
      </c>
      <c r="Y10" s="7" t="s">
        <v>1965</v>
      </c>
      <c r="Z10" s="6" t="s">
        <v>1966</v>
      </c>
    </row>
    <row r="11" customFormat="false" ht="34.5" hidden="false" customHeight="true" outlineLevel="0" collapsed="false">
      <c r="A11" s="6" t="s">
        <v>1010</v>
      </c>
      <c r="B11" s="6" t="s">
        <v>97</v>
      </c>
      <c r="C11" s="6" t="s">
        <v>1011</v>
      </c>
      <c r="D11" s="7" t="s">
        <v>1012</v>
      </c>
      <c r="E11" s="6" t="s">
        <v>1013</v>
      </c>
      <c r="F11" s="6" t="s">
        <v>944</v>
      </c>
      <c r="G11" s="6" t="s">
        <v>1014</v>
      </c>
      <c r="H11" s="6" t="s">
        <v>967</v>
      </c>
      <c r="I11" s="6"/>
      <c r="J11" s="6"/>
      <c r="K11" s="6"/>
      <c r="L11" s="7" t="s">
        <v>1015</v>
      </c>
      <c r="M11" s="6" t="n">
        <v>2</v>
      </c>
      <c r="N11" s="7" t="s">
        <v>1016</v>
      </c>
      <c r="O11" s="7"/>
      <c r="P11" s="6"/>
      <c r="Q11" s="7" t="s">
        <v>1017</v>
      </c>
      <c r="R11" s="6" t="s">
        <v>1018</v>
      </c>
      <c r="S11" s="6" t="s">
        <v>936</v>
      </c>
      <c r="T11" s="6"/>
      <c r="U11" s="6"/>
      <c r="V11" s="6" t="s">
        <v>1019</v>
      </c>
      <c r="W11" s="6" t="s">
        <v>55</v>
      </c>
      <c r="X11" s="6" t="s">
        <v>938</v>
      </c>
      <c r="Y11" s="7" t="s">
        <v>1020</v>
      </c>
      <c r="Z11" s="6" t="s">
        <v>39</v>
      </c>
    </row>
    <row r="12" customFormat="false" ht="34.5" hidden="false" customHeight="true" outlineLevel="0" collapsed="false">
      <c r="A12" s="6" t="s">
        <v>1021</v>
      </c>
      <c r="B12" s="6" t="s">
        <v>114</v>
      </c>
      <c r="C12" s="6" t="s">
        <v>1022</v>
      </c>
      <c r="D12" s="7" t="s">
        <v>1023</v>
      </c>
      <c r="E12" s="6" t="s">
        <v>943</v>
      </c>
      <c r="F12" s="6" t="s">
        <v>944</v>
      </c>
      <c r="G12" s="6" t="s">
        <v>1024</v>
      </c>
      <c r="H12" s="6" t="s">
        <v>954</v>
      </c>
      <c r="I12" s="6"/>
      <c r="J12" s="6"/>
      <c r="K12" s="6"/>
      <c r="L12" s="7" t="s">
        <v>1025</v>
      </c>
      <c r="M12" s="6"/>
      <c r="N12" s="7" t="s">
        <v>37</v>
      </c>
      <c r="O12" s="7"/>
      <c r="P12" s="6"/>
      <c r="Q12" s="7" t="s">
        <v>116</v>
      </c>
      <c r="R12" s="6" t="s">
        <v>32</v>
      </c>
      <c r="S12" s="6" t="s">
        <v>936</v>
      </c>
      <c r="T12" s="6"/>
      <c r="U12" s="6" t="s">
        <v>1026</v>
      </c>
      <c r="V12" s="6" t="s">
        <v>1026</v>
      </c>
      <c r="W12" s="6" t="s">
        <v>65</v>
      </c>
      <c r="X12" s="6" t="s">
        <v>938</v>
      </c>
      <c r="Y12" s="7" t="s">
        <v>1027</v>
      </c>
      <c r="Z12" s="6" t="s">
        <v>39</v>
      </c>
    </row>
    <row r="13" customFormat="false" ht="45.75" hidden="false" customHeight="true" outlineLevel="0" collapsed="false">
      <c r="A13" s="6" t="s">
        <v>1028</v>
      </c>
      <c r="B13" s="6" t="s">
        <v>122</v>
      </c>
      <c r="C13" s="6" t="s">
        <v>1029</v>
      </c>
      <c r="D13" s="7" t="s">
        <v>1030</v>
      </c>
      <c r="E13" s="6" t="s">
        <v>943</v>
      </c>
      <c r="F13" s="6" t="s">
        <v>930</v>
      </c>
      <c r="G13" s="6" t="s">
        <v>1031</v>
      </c>
      <c r="H13" s="6"/>
      <c r="I13" s="6"/>
      <c r="J13" s="6"/>
      <c r="K13" s="6"/>
      <c r="L13" s="7" t="s">
        <v>1032</v>
      </c>
      <c r="M13" s="6"/>
      <c r="N13" s="7" t="s">
        <v>1033</v>
      </c>
      <c r="O13" s="7"/>
      <c r="P13" s="6"/>
      <c r="Q13" s="7" t="s">
        <v>51</v>
      </c>
      <c r="R13" s="6" t="s">
        <v>32</v>
      </c>
      <c r="S13" s="6" t="s">
        <v>936</v>
      </c>
      <c r="T13" s="6"/>
      <c r="U13" s="6" t="s">
        <v>126</v>
      </c>
      <c r="V13" s="6" t="s">
        <v>126</v>
      </c>
      <c r="W13" s="6" t="s">
        <v>65</v>
      </c>
      <c r="X13" s="6" t="s">
        <v>938</v>
      </c>
      <c r="Y13" s="7" t="s">
        <v>1034</v>
      </c>
      <c r="Z13" s="6" t="s">
        <v>39</v>
      </c>
    </row>
    <row r="14" customFormat="false" ht="34.5" hidden="false" customHeight="true" outlineLevel="0" collapsed="false">
      <c r="A14" s="6" t="s">
        <v>1035</v>
      </c>
      <c r="B14" s="6" t="s">
        <v>130</v>
      </c>
      <c r="C14" s="6" t="s">
        <v>1036</v>
      </c>
      <c r="D14" s="7" t="s">
        <v>1037</v>
      </c>
      <c r="E14" s="6" t="s">
        <v>943</v>
      </c>
      <c r="F14" s="6" t="s">
        <v>930</v>
      </c>
      <c r="G14" s="6" t="s">
        <v>1038</v>
      </c>
      <c r="H14" s="6"/>
      <c r="I14" s="6"/>
      <c r="J14" s="6"/>
      <c r="K14" s="6"/>
      <c r="L14" s="7" t="s">
        <v>1039</v>
      </c>
      <c r="M14" s="6"/>
      <c r="N14" s="7" t="s">
        <v>37</v>
      </c>
      <c r="O14" s="7"/>
      <c r="P14" s="6"/>
      <c r="Q14" s="7" t="s">
        <v>51</v>
      </c>
      <c r="R14" s="6" t="s">
        <v>32</v>
      </c>
      <c r="S14" s="6" t="s">
        <v>936</v>
      </c>
      <c r="T14" s="6"/>
      <c r="U14" s="6"/>
      <c r="V14" s="6" t="s">
        <v>1040</v>
      </c>
      <c r="W14" s="6" t="s">
        <v>55</v>
      </c>
      <c r="X14" s="6" t="s">
        <v>938</v>
      </c>
      <c r="Y14" s="7" t="s">
        <v>949</v>
      </c>
      <c r="Z14" s="6" t="s">
        <v>39</v>
      </c>
    </row>
    <row r="15" customFormat="false" ht="34.5" hidden="false" customHeight="true" outlineLevel="0" collapsed="false">
      <c r="A15" s="6" t="s">
        <v>1041</v>
      </c>
      <c r="B15" s="6" t="s">
        <v>134</v>
      </c>
      <c r="C15" s="6" t="s">
        <v>1042</v>
      </c>
      <c r="D15" s="7" t="s">
        <v>1043</v>
      </c>
      <c r="E15" s="6" t="s">
        <v>943</v>
      </c>
      <c r="F15" s="6" t="s">
        <v>944</v>
      </c>
      <c r="G15" s="6" t="s">
        <v>1044</v>
      </c>
      <c r="H15" s="6"/>
      <c r="I15" s="6"/>
      <c r="J15" s="6"/>
      <c r="K15" s="6"/>
      <c r="L15" s="7" t="s">
        <v>1045</v>
      </c>
      <c r="M15" s="6" t="n">
        <v>8</v>
      </c>
      <c r="N15" s="7" t="s">
        <v>1046</v>
      </c>
      <c r="O15" s="7"/>
      <c r="P15" s="6"/>
      <c r="Q15" s="7" t="s">
        <v>51</v>
      </c>
      <c r="R15" s="6" t="s">
        <v>32</v>
      </c>
      <c r="S15" s="6" t="s">
        <v>1047</v>
      </c>
      <c r="T15" s="6"/>
      <c r="U15" s="6" t="s">
        <v>141</v>
      </c>
      <c r="V15" s="6" t="s">
        <v>141</v>
      </c>
      <c r="W15" s="6" t="s">
        <v>65</v>
      </c>
      <c r="X15" s="6" t="s">
        <v>938</v>
      </c>
      <c r="Y15" s="7" t="s">
        <v>1048</v>
      </c>
      <c r="Z15" s="6" t="s">
        <v>39</v>
      </c>
    </row>
    <row r="16" customFormat="false" ht="34.5" hidden="false" customHeight="true" outlineLevel="0" collapsed="false">
      <c r="A16" s="6" t="s">
        <v>1049</v>
      </c>
      <c r="B16" s="6" t="s">
        <v>134</v>
      </c>
      <c r="C16" s="6" t="s">
        <v>1050</v>
      </c>
      <c r="D16" s="7" t="s">
        <v>1051</v>
      </c>
      <c r="E16" s="6" t="s">
        <v>943</v>
      </c>
      <c r="F16" s="6" t="s">
        <v>944</v>
      </c>
      <c r="G16" s="6" t="s">
        <v>1052</v>
      </c>
      <c r="H16" s="6"/>
      <c r="I16" s="6"/>
      <c r="J16" s="6"/>
      <c r="K16" s="6"/>
      <c r="L16" s="7" t="s">
        <v>1045</v>
      </c>
      <c r="M16" s="6" t="n">
        <v>12</v>
      </c>
      <c r="N16" s="7" t="s">
        <v>1053</v>
      </c>
      <c r="O16" s="7"/>
      <c r="P16" s="6"/>
      <c r="Q16" s="7" t="s">
        <v>51</v>
      </c>
      <c r="R16" s="6" t="s">
        <v>32</v>
      </c>
      <c r="S16" s="6" t="s">
        <v>1047</v>
      </c>
      <c r="T16" s="6"/>
      <c r="U16" s="6" t="s">
        <v>1054</v>
      </c>
      <c r="V16" s="6" t="s">
        <v>1054</v>
      </c>
      <c r="W16" s="6" t="s">
        <v>65</v>
      </c>
      <c r="X16" s="6" t="s">
        <v>938</v>
      </c>
      <c r="Y16" s="7" t="s">
        <v>1055</v>
      </c>
      <c r="Z16" s="6" t="s">
        <v>39</v>
      </c>
    </row>
    <row r="17" customFormat="false" ht="34.5" hidden="false" customHeight="true" outlineLevel="0" collapsed="false">
      <c r="A17" s="6" t="s">
        <v>1056</v>
      </c>
      <c r="B17" s="6" t="s">
        <v>150</v>
      </c>
      <c r="C17" s="6" t="s">
        <v>1057</v>
      </c>
      <c r="D17" s="7" t="s">
        <v>1058</v>
      </c>
      <c r="E17" s="6" t="s">
        <v>943</v>
      </c>
      <c r="F17" s="6" t="s">
        <v>930</v>
      </c>
      <c r="G17" s="6" t="s">
        <v>1059</v>
      </c>
      <c r="H17" s="6" t="s">
        <v>932</v>
      </c>
      <c r="I17" s="6"/>
      <c r="J17" s="6"/>
      <c r="K17" s="6"/>
      <c r="L17" s="7" t="s">
        <v>1060</v>
      </c>
      <c r="M17" s="6" t="n">
        <v>12</v>
      </c>
      <c r="N17" s="7" t="s">
        <v>1061</v>
      </c>
      <c r="O17" s="7"/>
      <c r="P17" s="6"/>
      <c r="Q17" s="7" t="s">
        <v>1062</v>
      </c>
      <c r="R17" s="6" t="s">
        <v>1063</v>
      </c>
      <c r="S17" s="6" t="s">
        <v>960</v>
      </c>
      <c r="T17" s="6"/>
      <c r="U17" s="6"/>
      <c r="V17" s="6" t="s">
        <v>1064</v>
      </c>
      <c r="W17" s="6" t="s">
        <v>55</v>
      </c>
      <c r="X17" s="6" t="s">
        <v>938</v>
      </c>
      <c r="Y17" s="7" t="s">
        <v>1065</v>
      </c>
      <c r="Z17" s="6" t="s">
        <v>39</v>
      </c>
    </row>
    <row r="18" customFormat="false" ht="34.5" hidden="false" customHeight="true" outlineLevel="0" collapsed="false">
      <c r="A18" s="6" t="s">
        <v>1066</v>
      </c>
      <c r="B18" s="6" t="s">
        <v>161</v>
      </c>
      <c r="C18" s="6" t="s">
        <v>1067</v>
      </c>
      <c r="D18" s="7" t="s">
        <v>1068</v>
      </c>
      <c r="E18" s="6" t="s">
        <v>943</v>
      </c>
      <c r="F18" s="6" t="s">
        <v>930</v>
      </c>
      <c r="G18" s="6" t="s">
        <v>1031</v>
      </c>
      <c r="H18" s="6" t="s">
        <v>967</v>
      </c>
      <c r="I18" s="6"/>
      <c r="J18" s="6"/>
      <c r="K18" s="6"/>
      <c r="L18" s="7" t="s">
        <v>1069</v>
      </c>
      <c r="M18" s="6" t="n">
        <v>26</v>
      </c>
      <c r="N18" s="7" t="s">
        <v>1070</v>
      </c>
      <c r="O18" s="7" t="s">
        <v>1071</v>
      </c>
      <c r="P18" s="6" t="s">
        <v>397</v>
      </c>
      <c r="Q18" s="7" t="s">
        <v>1072</v>
      </c>
      <c r="R18" s="6" t="s">
        <v>1073</v>
      </c>
      <c r="S18" s="6" t="s">
        <v>936</v>
      </c>
      <c r="T18" s="6"/>
      <c r="U18" s="6" t="s">
        <v>165</v>
      </c>
      <c r="V18" s="6" t="s">
        <v>165</v>
      </c>
      <c r="W18" s="6" t="s">
        <v>65</v>
      </c>
      <c r="X18" s="6" t="s">
        <v>994</v>
      </c>
      <c r="Y18" s="7"/>
      <c r="Z18" s="6" t="s">
        <v>39</v>
      </c>
    </row>
    <row r="19" customFormat="false" ht="34.5" hidden="false" customHeight="true" outlineLevel="0" collapsed="false">
      <c r="A19" s="6" t="s">
        <v>1074</v>
      </c>
      <c r="B19" s="6" t="s">
        <v>178</v>
      </c>
      <c r="C19" s="6" t="s">
        <v>1075</v>
      </c>
      <c r="D19" s="7" t="s">
        <v>1076</v>
      </c>
      <c r="E19" s="6" t="s">
        <v>943</v>
      </c>
      <c r="F19" s="6" t="s">
        <v>944</v>
      </c>
      <c r="G19" s="6" t="s">
        <v>1038</v>
      </c>
      <c r="H19" s="6" t="s">
        <v>932</v>
      </c>
      <c r="I19" s="6"/>
      <c r="J19" s="6"/>
      <c r="K19" s="6"/>
      <c r="L19" s="7" t="s">
        <v>1077</v>
      </c>
      <c r="M19" s="6"/>
      <c r="N19" s="7" t="s">
        <v>1078</v>
      </c>
      <c r="O19" s="7"/>
      <c r="P19" s="6"/>
      <c r="Q19" s="7" t="s">
        <v>180</v>
      </c>
      <c r="R19" s="6" t="s">
        <v>32</v>
      </c>
      <c r="S19" s="6" t="s">
        <v>936</v>
      </c>
      <c r="T19" s="6"/>
      <c r="U19" s="6"/>
      <c r="V19" s="6" t="s">
        <v>1079</v>
      </c>
      <c r="W19" s="6" t="s">
        <v>55</v>
      </c>
      <c r="X19" s="6" t="s">
        <v>938</v>
      </c>
      <c r="Y19" s="7" t="s">
        <v>949</v>
      </c>
      <c r="Z19" s="6" t="s">
        <v>39</v>
      </c>
    </row>
    <row r="20" customFormat="false" ht="45.75" hidden="false" customHeight="true" outlineLevel="0" collapsed="false">
      <c r="A20" s="6" t="s">
        <v>1080</v>
      </c>
      <c r="B20" s="6" t="s">
        <v>178</v>
      </c>
      <c r="C20" s="6" t="s">
        <v>1081</v>
      </c>
      <c r="D20" s="7" t="s">
        <v>1082</v>
      </c>
      <c r="E20" s="6" t="s">
        <v>1083</v>
      </c>
      <c r="F20" s="6" t="s">
        <v>930</v>
      </c>
      <c r="G20" s="6" t="s">
        <v>1084</v>
      </c>
      <c r="H20" s="6" t="s">
        <v>967</v>
      </c>
      <c r="I20" s="6"/>
      <c r="J20" s="6"/>
      <c r="K20" s="6"/>
      <c r="L20" s="7" t="s">
        <v>1085</v>
      </c>
      <c r="M20" s="6"/>
      <c r="N20" s="7" t="s">
        <v>1086</v>
      </c>
      <c r="O20" s="7"/>
      <c r="P20" s="6"/>
      <c r="Q20" s="7" t="s">
        <v>180</v>
      </c>
      <c r="R20" s="6" t="s">
        <v>32</v>
      </c>
      <c r="S20" s="6" t="s">
        <v>936</v>
      </c>
      <c r="T20" s="6"/>
      <c r="U20" s="6"/>
      <c r="V20" s="6" t="s">
        <v>1087</v>
      </c>
      <c r="W20" s="6" t="s">
        <v>55</v>
      </c>
      <c r="X20" s="6" t="s">
        <v>938</v>
      </c>
      <c r="Y20" s="7" t="s">
        <v>1088</v>
      </c>
      <c r="Z20" s="6" t="s">
        <v>39</v>
      </c>
    </row>
    <row r="21" customFormat="false" ht="57" hidden="false" customHeight="true" outlineLevel="0" collapsed="false">
      <c r="A21" s="6" t="s">
        <v>1089</v>
      </c>
      <c r="B21" s="6" t="s">
        <v>200</v>
      </c>
      <c r="C21" s="6" t="s">
        <v>1090</v>
      </c>
      <c r="D21" s="7" t="s">
        <v>1091</v>
      </c>
      <c r="E21" s="6" t="s">
        <v>929</v>
      </c>
      <c r="F21" s="6" t="s">
        <v>944</v>
      </c>
      <c r="G21" s="6" t="s">
        <v>1092</v>
      </c>
      <c r="H21" s="6" t="s">
        <v>967</v>
      </c>
      <c r="I21" s="6"/>
      <c r="J21" s="6"/>
      <c r="K21" s="6"/>
      <c r="L21" s="7" t="s">
        <v>1093</v>
      </c>
      <c r="M21" s="6"/>
      <c r="N21" s="7" t="s">
        <v>1094</v>
      </c>
      <c r="O21" s="7"/>
      <c r="P21" s="6"/>
      <c r="Q21" s="7" t="s">
        <v>202</v>
      </c>
      <c r="R21" s="6" t="s">
        <v>32</v>
      </c>
      <c r="S21" s="6" t="s">
        <v>1095</v>
      </c>
      <c r="T21" s="6"/>
      <c r="U21" s="6"/>
      <c r="V21" s="6" t="s">
        <v>1096</v>
      </c>
      <c r="W21" s="6" t="s">
        <v>55</v>
      </c>
      <c r="X21" s="6" t="s">
        <v>938</v>
      </c>
      <c r="Y21" s="7" t="s">
        <v>1097</v>
      </c>
      <c r="Z21" s="6" t="s">
        <v>39</v>
      </c>
    </row>
    <row r="22" customFormat="false" ht="34.5" hidden="false" customHeight="true" outlineLevel="0" collapsed="false">
      <c r="A22" s="6" t="s">
        <v>1098</v>
      </c>
      <c r="B22" s="6" t="s">
        <v>220</v>
      </c>
      <c r="C22" s="6" t="s">
        <v>1099</v>
      </c>
      <c r="D22" s="7" t="s">
        <v>1100</v>
      </c>
      <c r="E22" s="6" t="s">
        <v>943</v>
      </c>
      <c r="F22" s="6" t="s">
        <v>930</v>
      </c>
      <c r="G22" s="6" t="s">
        <v>945</v>
      </c>
      <c r="H22" s="6" t="s">
        <v>954</v>
      </c>
      <c r="I22" s="6"/>
      <c r="J22" s="6"/>
      <c r="K22" s="6"/>
      <c r="L22" s="7" t="s">
        <v>975</v>
      </c>
      <c r="M22" s="6" t="n">
        <v>24</v>
      </c>
      <c r="N22" s="7" t="s">
        <v>969</v>
      </c>
      <c r="O22" s="7"/>
      <c r="P22" s="6"/>
      <c r="Q22" s="7" t="s">
        <v>33</v>
      </c>
      <c r="R22" s="6" t="s">
        <v>32</v>
      </c>
      <c r="S22" s="6" t="s">
        <v>936</v>
      </c>
      <c r="T22" s="6"/>
      <c r="U22" s="6"/>
      <c r="V22" s="6" t="s">
        <v>1101</v>
      </c>
      <c r="W22" s="6" t="s">
        <v>55</v>
      </c>
      <c r="X22" s="6" t="s">
        <v>938</v>
      </c>
      <c r="Y22" s="7" t="s">
        <v>1102</v>
      </c>
      <c r="Z22" s="6" t="s">
        <v>39</v>
      </c>
    </row>
    <row r="23" customFormat="false" ht="45.75" hidden="false" customHeight="true" outlineLevel="0" collapsed="false">
      <c r="A23" s="6" t="s">
        <v>1103</v>
      </c>
      <c r="B23" s="6" t="s">
        <v>227</v>
      </c>
      <c r="C23" s="6" t="s">
        <v>1104</v>
      </c>
      <c r="D23" s="7" t="s">
        <v>1105</v>
      </c>
      <c r="E23" s="6" t="s">
        <v>943</v>
      </c>
      <c r="F23" s="6" t="s">
        <v>930</v>
      </c>
      <c r="G23" s="6" t="s">
        <v>945</v>
      </c>
      <c r="H23" s="6" t="s">
        <v>954</v>
      </c>
      <c r="I23" s="6"/>
      <c r="J23" s="6"/>
      <c r="K23" s="6"/>
      <c r="L23" s="7" t="s">
        <v>1106</v>
      </c>
      <c r="M23" s="6" t="n">
        <v>22</v>
      </c>
      <c r="N23" s="7" t="s">
        <v>1107</v>
      </c>
      <c r="O23" s="7" t="s">
        <v>1108</v>
      </c>
      <c r="P23" s="6" t="s">
        <v>613</v>
      </c>
      <c r="Q23" s="7" t="s">
        <v>613</v>
      </c>
      <c r="R23" s="6" t="s">
        <v>612</v>
      </c>
      <c r="S23" s="6" t="s">
        <v>960</v>
      </c>
      <c r="T23" s="6"/>
      <c r="U23" s="6" t="s">
        <v>231</v>
      </c>
      <c r="V23" s="6" t="s">
        <v>231</v>
      </c>
      <c r="W23" s="6" t="s">
        <v>65</v>
      </c>
      <c r="X23" s="6" t="s">
        <v>994</v>
      </c>
      <c r="Y23" s="7"/>
      <c r="Z23" s="6" t="s">
        <v>875</v>
      </c>
    </row>
    <row r="24" customFormat="false" ht="57" hidden="false" customHeight="true" outlineLevel="0" collapsed="false">
      <c r="A24" s="6" t="s">
        <v>1109</v>
      </c>
      <c r="B24" s="6" t="s">
        <v>234</v>
      </c>
      <c r="C24" s="6" t="s">
        <v>1110</v>
      </c>
      <c r="D24" s="7" t="s">
        <v>1111</v>
      </c>
      <c r="E24" s="6" t="s">
        <v>943</v>
      </c>
      <c r="F24" s="6" t="s">
        <v>930</v>
      </c>
      <c r="G24" s="6" t="s">
        <v>945</v>
      </c>
      <c r="H24" s="6" t="s">
        <v>954</v>
      </c>
      <c r="I24" s="6"/>
      <c r="J24" s="6"/>
      <c r="K24" s="6"/>
      <c r="L24" s="7" t="s">
        <v>1112</v>
      </c>
      <c r="M24" s="6" t="n">
        <v>24</v>
      </c>
      <c r="N24" s="7" t="s">
        <v>969</v>
      </c>
      <c r="O24" s="7"/>
      <c r="P24" s="6"/>
      <c r="Q24" s="7" t="s">
        <v>33</v>
      </c>
      <c r="R24" s="6" t="s">
        <v>32</v>
      </c>
      <c r="S24" s="6" t="s">
        <v>936</v>
      </c>
      <c r="T24" s="6"/>
      <c r="U24" s="6"/>
      <c r="V24" s="6" t="s">
        <v>1113</v>
      </c>
      <c r="W24" s="6" t="s">
        <v>55</v>
      </c>
      <c r="X24" s="6" t="s">
        <v>938</v>
      </c>
      <c r="Y24" s="7" t="s">
        <v>962</v>
      </c>
      <c r="Z24" s="6" t="s">
        <v>39</v>
      </c>
    </row>
    <row r="25" customFormat="false" ht="34.5" hidden="false" customHeight="true" outlineLevel="0" collapsed="false">
      <c r="A25" s="6" t="s">
        <v>1114</v>
      </c>
      <c r="B25" s="6" t="s">
        <v>242</v>
      </c>
      <c r="C25" s="6" t="s">
        <v>1115</v>
      </c>
      <c r="D25" s="7" t="s">
        <v>1116</v>
      </c>
      <c r="E25" s="6" t="s">
        <v>943</v>
      </c>
      <c r="F25" s="6" t="s">
        <v>930</v>
      </c>
      <c r="G25" s="6" t="s">
        <v>1117</v>
      </c>
      <c r="H25" s="6" t="s">
        <v>932</v>
      </c>
      <c r="I25" s="6"/>
      <c r="J25" s="6"/>
      <c r="K25" s="6"/>
      <c r="L25" s="7" t="s">
        <v>1118</v>
      </c>
      <c r="M25" s="6" t="n">
        <v>12</v>
      </c>
      <c r="N25" s="7" t="s">
        <v>1119</v>
      </c>
      <c r="O25" s="7"/>
      <c r="P25" s="6"/>
      <c r="Q25" s="7" t="s">
        <v>1062</v>
      </c>
      <c r="R25" s="6" t="s">
        <v>1063</v>
      </c>
      <c r="S25" s="6" t="s">
        <v>960</v>
      </c>
      <c r="T25" s="6"/>
      <c r="U25" s="6"/>
      <c r="V25" s="6" t="s">
        <v>1120</v>
      </c>
      <c r="W25" s="6" t="s">
        <v>55</v>
      </c>
      <c r="X25" s="6" t="s">
        <v>938</v>
      </c>
      <c r="Y25" s="7" t="s">
        <v>1121</v>
      </c>
      <c r="Z25" s="6" t="s">
        <v>39</v>
      </c>
    </row>
    <row r="26" customFormat="false" ht="45.75" hidden="false" customHeight="true" outlineLevel="0" collapsed="false">
      <c r="A26" s="6" t="s">
        <v>1122</v>
      </c>
      <c r="B26" s="6" t="s">
        <v>248</v>
      </c>
      <c r="C26" s="6" t="s">
        <v>1123</v>
      </c>
      <c r="D26" s="7" t="s">
        <v>1124</v>
      </c>
      <c r="E26" s="6" t="s">
        <v>943</v>
      </c>
      <c r="F26" s="6" t="s">
        <v>944</v>
      </c>
      <c r="G26" s="6" t="s">
        <v>1125</v>
      </c>
      <c r="H26" s="6" t="s">
        <v>954</v>
      </c>
      <c r="I26" s="6"/>
      <c r="J26" s="6"/>
      <c r="K26" s="6"/>
      <c r="L26" s="7" t="s">
        <v>1126</v>
      </c>
      <c r="M26" s="6" t="n">
        <v>12</v>
      </c>
      <c r="N26" s="7" t="s">
        <v>1127</v>
      </c>
      <c r="O26" s="7"/>
      <c r="P26" s="6" t="s">
        <v>397</v>
      </c>
      <c r="Q26" s="7" t="s">
        <v>1128</v>
      </c>
      <c r="R26" s="6" t="s">
        <v>1129</v>
      </c>
      <c r="S26" s="6" t="s">
        <v>1047</v>
      </c>
      <c r="T26" s="6"/>
      <c r="U26" s="6" t="s">
        <v>252</v>
      </c>
      <c r="V26" s="6" t="s">
        <v>252</v>
      </c>
      <c r="W26" s="6" t="s">
        <v>65</v>
      </c>
      <c r="X26" s="6" t="s">
        <v>994</v>
      </c>
      <c r="Y26" s="7"/>
      <c r="Z26" s="6" t="s">
        <v>39</v>
      </c>
    </row>
    <row r="27" customFormat="false" ht="45.75" hidden="false" customHeight="true" outlineLevel="0" collapsed="false">
      <c r="A27" s="6" t="s">
        <v>1130</v>
      </c>
      <c r="B27" s="6" t="s">
        <v>254</v>
      </c>
      <c r="C27" s="6" t="s">
        <v>1131</v>
      </c>
      <c r="D27" s="7" t="s">
        <v>1132</v>
      </c>
      <c r="E27" s="6" t="s">
        <v>1013</v>
      </c>
      <c r="F27" s="6" t="s">
        <v>944</v>
      </c>
      <c r="G27" s="6" t="s">
        <v>1133</v>
      </c>
      <c r="H27" s="6" t="s">
        <v>967</v>
      </c>
      <c r="I27" s="6"/>
      <c r="J27" s="6"/>
      <c r="K27" s="6"/>
      <c r="L27" s="7" t="s">
        <v>1134</v>
      </c>
      <c r="M27" s="6"/>
      <c r="N27" s="7" t="s">
        <v>1135</v>
      </c>
      <c r="O27" s="7"/>
      <c r="P27" s="6"/>
      <c r="Q27" s="7" t="s">
        <v>257</v>
      </c>
      <c r="R27" s="6" t="s">
        <v>32</v>
      </c>
      <c r="S27" s="6" t="s">
        <v>1095</v>
      </c>
      <c r="T27" s="6"/>
      <c r="U27" s="6" t="s">
        <v>260</v>
      </c>
      <c r="V27" s="6" t="s">
        <v>260</v>
      </c>
      <c r="W27" s="6" t="s">
        <v>65</v>
      </c>
      <c r="X27" s="6" t="s">
        <v>938</v>
      </c>
      <c r="Y27" s="7" t="s">
        <v>1136</v>
      </c>
      <c r="Z27" s="6" t="s">
        <v>39</v>
      </c>
    </row>
    <row r="28" customFormat="false" ht="34.5" hidden="false" customHeight="true" outlineLevel="0" collapsed="false">
      <c r="A28" s="6" t="s">
        <v>1137</v>
      </c>
      <c r="B28" s="6" t="s">
        <v>263</v>
      </c>
      <c r="C28" s="6" t="s">
        <v>1138</v>
      </c>
      <c r="D28" s="7" t="s">
        <v>1139</v>
      </c>
      <c r="E28" s="6" t="s">
        <v>1013</v>
      </c>
      <c r="F28" s="6" t="s">
        <v>944</v>
      </c>
      <c r="G28" s="6" t="s">
        <v>1140</v>
      </c>
      <c r="H28" s="6" t="s">
        <v>967</v>
      </c>
      <c r="I28" s="6"/>
      <c r="J28" s="6"/>
      <c r="K28" s="6"/>
      <c r="L28" s="7" t="s">
        <v>1134</v>
      </c>
      <c r="M28" s="6"/>
      <c r="N28" s="7" t="s">
        <v>1141</v>
      </c>
      <c r="O28" s="7"/>
      <c r="P28" s="6"/>
      <c r="Q28" s="7" t="s">
        <v>265</v>
      </c>
      <c r="R28" s="6" t="s">
        <v>32</v>
      </c>
      <c r="S28" s="6" t="s">
        <v>960</v>
      </c>
      <c r="T28" s="6"/>
      <c r="U28" s="6" t="s">
        <v>268</v>
      </c>
      <c r="V28" s="6" t="s">
        <v>268</v>
      </c>
      <c r="W28" s="6" t="s">
        <v>65</v>
      </c>
      <c r="X28" s="6" t="s">
        <v>938</v>
      </c>
      <c r="Y28" s="7" t="s">
        <v>1136</v>
      </c>
      <c r="Z28" s="6" t="s">
        <v>39</v>
      </c>
    </row>
    <row r="29" customFormat="false" ht="34.5" hidden="false" customHeight="true" outlineLevel="0" collapsed="false">
      <c r="A29" s="6" t="s">
        <v>1142</v>
      </c>
      <c r="B29" s="6" t="s">
        <v>269</v>
      </c>
      <c r="C29" s="6" t="s">
        <v>1143</v>
      </c>
      <c r="D29" s="7" t="s">
        <v>1144</v>
      </c>
      <c r="E29" s="6" t="s">
        <v>943</v>
      </c>
      <c r="F29" s="6" t="s">
        <v>944</v>
      </c>
      <c r="G29" s="6" t="s">
        <v>1031</v>
      </c>
      <c r="H29" s="6" t="s">
        <v>932</v>
      </c>
      <c r="I29" s="6"/>
      <c r="J29" s="6"/>
      <c r="K29" s="6"/>
      <c r="L29" s="7" t="s">
        <v>1145</v>
      </c>
      <c r="M29" s="6" t="n">
        <v>12</v>
      </c>
      <c r="N29" s="7" t="s">
        <v>1146</v>
      </c>
      <c r="O29" s="7"/>
      <c r="P29" s="6"/>
      <c r="Q29" s="7" t="s">
        <v>265</v>
      </c>
      <c r="R29" s="6" t="s">
        <v>32</v>
      </c>
      <c r="S29" s="6" t="s">
        <v>936</v>
      </c>
      <c r="T29" s="6"/>
      <c r="U29" s="6" t="s">
        <v>273</v>
      </c>
      <c r="V29" s="6" t="s">
        <v>273</v>
      </c>
      <c r="W29" s="6" t="s">
        <v>65</v>
      </c>
      <c r="X29" s="6" t="s">
        <v>938</v>
      </c>
      <c r="Y29" s="7" t="s">
        <v>1147</v>
      </c>
      <c r="Z29" s="6" t="s">
        <v>39</v>
      </c>
    </row>
    <row r="30" customFormat="false" ht="45.75" hidden="false" customHeight="true" outlineLevel="0" collapsed="false">
      <c r="A30" s="6" t="s">
        <v>1148</v>
      </c>
      <c r="B30" s="6" t="s">
        <v>275</v>
      </c>
      <c r="C30" s="6" t="s">
        <v>1149</v>
      </c>
      <c r="D30" s="7" t="s">
        <v>1150</v>
      </c>
      <c r="E30" s="6" t="s">
        <v>1013</v>
      </c>
      <c r="F30" s="6" t="s">
        <v>944</v>
      </c>
      <c r="G30" s="6" t="s">
        <v>1151</v>
      </c>
      <c r="H30" s="6" t="s">
        <v>967</v>
      </c>
      <c r="I30" s="6" t="n">
        <v>10000</v>
      </c>
      <c r="J30" s="6" t="s">
        <v>989</v>
      </c>
      <c r="K30" s="6" t="s">
        <v>990</v>
      </c>
      <c r="L30" s="7" t="s">
        <v>1152</v>
      </c>
      <c r="M30" s="6" t="n">
        <v>4</v>
      </c>
      <c r="N30" s="7" t="s">
        <v>1153</v>
      </c>
      <c r="O30" s="7"/>
      <c r="P30" s="6"/>
      <c r="Q30" s="7" t="s">
        <v>1154</v>
      </c>
      <c r="R30" s="6" t="s">
        <v>1155</v>
      </c>
      <c r="S30" s="6" t="s">
        <v>1095</v>
      </c>
      <c r="T30" s="6"/>
      <c r="U30" s="6" t="s">
        <v>279</v>
      </c>
      <c r="V30" s="6" t="s">
        <v>279</v>
      </c>
      <c r="W30" s="6" t="s">
        <v>65</v>
      </c>
      <c r="X30" s="6" t="s">
        <v>938</v>
      </c>
      <c r="Y30" s="7" t="s">
        <v>1156</v>
      </c>
      <c r="Z30" s="6" t="s">
        <v>39</v>
      </c>
    </row>
    <row r="31" customFormat="false" ht="57" hidden="false" customHeight="true" outlineLevel="0" collapsed="false">
      <c r="A31" s="6" t="s">
        <v>1157</v>
      </c>
      <c r="B31" s="6" t="s">
        <v>281</v>
      </c>
      <c r="C31" s="6" t="s">
        <v>1158</v>
      </c>
      <c r="D31" s="7" t="s">
        <v>1159</v>
      </c>
      <c r="E31" s="6" t="s">
        <v>929</v>
      </c>
      <c r="F31" s="6" t="s">
        <v>944</v>
      </c>
      <c r="G31" s="6" t="s">
        <v>1160</v>
      </c>
      <c r="H31" s="6" t="s">
        <v>967</v>
      </c>
      <c r="I31" s="6"/>
      <c r="J31" s="6"/>
      <c r="K31" s="6"/>
      <c r="L31" s="7" t="s">
        <v>1161</v>
      </c>
      <c r="M31" s="6" t="n">
        <v>48</v>
      </c>
      <c r="N31" s="7" t="s">
        <v>1162</v>
      </c>
      <c r="O31" s="7"/>
      <c r="P31" s="6"/>
      <c r="Q31" s="7" t="s">
        <v>51</v>
      </c>
      <c r="R31" s="6" t="s">
        <v>32</v>
      </c>
      <c r="S31" s="6" t="s">
        <v>960</v>
      </c>
      <c r="T31" s="6"/>
      <c r="U31" s="6"/>
      <c r="V31" s="6" t="s">
        <v>1163</v>
      </c>
      <c r="W31" s="6" t="s">
        <v>55</v>
      </c>
      <c r="X31" s="6" t="s">
        <v>938</v>
      </c>
      <c r="Y31" s="7" t="s">
        <v>1164</v>
      </c>
      <c r="Z31" s="6" t="s">
        <v>39</v>
      </c>
    </row>
    <row r="32" customFormat="false" ht="45.75" hidden="false" customHeight="true" outlineLevel="0" collapsed="false">
      <c r="A32" s="6" t="s">
        <v>1165</v>
      </c>
      <c r="B32" s="6" t="s">
        <v>285</v>
      </c>
      <c r="C32" s="6" t="s">
        <v>1166</v>
      </c>
      <c r="D32" s="7" t="s">
        <v>1167</v>
      </c>
      <c r="E32" s="6" t="s">
        <v>1013</v>
      </c>
      <c r="F32" s="6" t="s">
        <v>930</v>
      </c>
      <c r="G32" s="6" t="s">
        <v>1168</v>
      </c>
      <c r="H32" s="6" t="s">
        <v>967</v>
      </c>
      <c r="I32" s="6"/>
      <c r="J32" s="6"/>
      <c r="K32" s="6"/>
      <c r="L32" s="7" t="s">
        <v>1134</v>
      </c>
      <c r="M32" s="6"/>
      <c r="N32" s="7" t="s">
        <v>1169</v>
      </c>
      <c r="O32" s="7"/>
      <c r="P32" s="6"/>
      <c r="Q32" s="7" t="s">
        <v>51</v>
      </c>
      <c r="R32" s="6" t="s">
        <v>32</v>
      </c>
      <c r="S32" s="6" t="s">
        <v>1095</v>
      </c>
      <c r="T32" s="6"/>
      <c r="U32" s="6" t="s">
        <v>289</v>
      </c>
      <c r="V32" s="6" t="s">
        <v>289</v>
      </c>
      <c r="W32" s="6" t="s">
        <v>65</v>
      </c>
      <c r="X32" s="6" t="s">
        <v>938</v>
      </c>
      <c r="Y32" s="7" t="s">
        <v>1136</v>
      </c>
      <c r="Z32" s="6" t="s">
        <v>39</v>
      </c>
    </row>
    <row r="33" customFormat="false" ht="45.75" hidden="false" customHeight="true" outlineLevel="0" collapsed="false">
      <c r="A33" s="6" t="s">
        <v>1170</v>
      </c>
      <c r="B33" s="6" t="s">
        <v>290</v>
      </c>
      <c r="C33" s="6" t="s">
        <v>1171</v>
      </c>
      <c r="D33" s="7" t="s">
        <v>1172</v>
      </c>
      <c r="E33" s="6" t="s">
        <v>943</v>
      </c>
      <c r="F33" s="6" t="s">
        <v>930</v>
      </c>
      <c r="G33" s="6" t="s">
        <v>1173</v>
      </c>
      <c r="H33" s="6"/>
      <c r="I33" s="6" t="n">
        <v>2000</v>
      </c>
      <c r="J33" s="6" t="s">
        <v>1174</v>
      </c>
      <c r="K33" s="6" t="s">
        <v>990</v>
      </c>
      <c r="L33" s="7" t="s">
        <v>1175</v>
      </c>
      <c r="M33" s="6"/>
      <c r="N33" s="7" t="s">
        <v>1176</v>
      </c>
      <c r="O33" s="7"/>
      <c r="P33" s="6"/>
      <c r="Q33" s="7" t="s">
        <v>51</v>
      </c>
      <c r="R33" s="6" t="s">
        <v>32</v>
      </c>
      <c r="S33" s="6" t="s">
        <v>960</v>
      </c>
      <c r="T33" s="6"/>
      <c r="U33" s="6" t="s">
        <v>294</v>
      </c>
      <c r="V33" s="6" t="s">
        <v>294</v>
      </c>
      <c r="W33" s="6" t="s">
        <v>65</v>
      </c>
      <c r="X33" s="6" t="s">
        <v>938</v>
      </c>
      <c r="Y33" s="7" t="s">
        <v>1034</v>
      </c>
      <c r="Z33" s="6" t="s">
        <v>39</v>
      </c>
    </row>
    <row r="34" customFormat="false" ht="34.5" hidden="false" customHeight="true" outlineLevel="0" collapsed="false">
      <c r="A34" s="6" t="s">
        <v>1177</v>
      </c>
      <c r="B34" s="6" t="s">
        <v>300</v>
      </c>
      <c r="C34" s="6" t="s">
        <v>1178</v>
      </c>
      <c r="D34" s="7" t="s">
        <v>1179</v>
      </c>
      <c r="E34" s="6" t="s">
        <v>929</v>
      </c>
      <c r="F34" s="6" t="s">
        <v>930</v>
      </c>
      <c r="G34" s="6" t="s">
        <v>1180</v>
      </c>
      <c r="H34" s="6" t="s">
        <v>967</v>
      </c>
      <c r="I34" s="6"/>
      <c r="J34" s="6"/>
      <c r="K34" s="6"/>
      <c r="L34" s="7" t="s">
        <v>1134</v>
      </c>
      <c r="M34" s="6" t="n">
        <v>24</v>
      </c>
      <c r="N34" s="7" t="s">
        <v>1181</v>
      </c>
      <c r="O34" s="7"/>
      <c r="P34" s="6"/>
      <c r="Q34" s="7" t="s">
        <v>51</v>
      </c>
      <c r="R34" s="6" t="s">
        <v>32</v>
      </c>
      <c r="S34" s="6" t="s">
        <v>960</v>
      </c>
      <c r="T34" s="6"/>
      <c r="U34" s="6"/>
      <c r="V34" s="6" t="s">
        <v>1182</v>
      </c>
      <c r="W34" s="6" t="s">
        <v>55</v>
      </c>
      <c r="X34" s="6" t="s">
        <v>938</v>
      </c>
      <c r="Y34" s="7" t="s">
        <v>1183</v>
      </c>
      <c r="Z34" s="6" t="s">
        <v>39</v>
      </c>
    </row>
    <row r="35" customFormat="false" ht="45.75" hidden="false" customHeight="true" outlineLevel="0" collapsed="false">
      <c r="A35" s="6" t="s">
        <v>1184</v>
      </c>
      <c r="B35" s="6" t="s">
        <v>305</v>
      </c>
      <c r="C35" s="6" t="s">
        <v>1185</v>
      </c>
      <c r="D35" s="7" t="s">
        <v>1186</v>
      </c>
      <c r="E35" s="6" t="s">
        <v>943</v>
      </c>
      <c r="F35" s="6" t="s">
        <v>930</v>
      </c>
      <c r="G35" s="6" t="s">
        <v>1187</v>
      </c>
      <c r="H35" s="6"/>
      <c r="I35" s="6"/>
      <c r="J35" s="6"/>
      <c r="K35" s="6"/>
      <c r="L35" s="7" t="s">
        <v>1188</v>
      </c>
      <c r="M35" s="6"/>
      <c r="N35" s="7" t="s">
        <v>1086</v>
      </c>
      <c r="O35" s="7"/>
      <c r="P35" s="6"/>
      <c r="Q35" s="7" t="s">
        <v>51</v>
      </c>
      <c r="R35" s="6" t="s">
        <v>32</v>
      </c>
      <c r="S35" s="6" t="s">
        <v>936</v>
      </c>
      <c r="T35" s="6"/>
      <c r="U35" s="6" t="s">
        <v>309</v>
      </c>
      <c r="V35" s="6" t="s">
        <v>309</v>
      </c>
      <c r="W35" s="6" t="s">
        <v>65</v>
      </c>
      <c r="X35" s="6" t="s">
        <v>938</v>
      </c>
      <c r="Y35" s="7" t="s">
        <v>1189</v>
      </c>
      <c r="Z35" s="6" t="s">
        <v>39</v>
      </c>
    </row>
    <row r="36" customFormat="false" ht="45.75" hidden="false" customHeight="true" outlineLevel="0" collapsed="false">
      <c r="A36" s="6" t="s">
        <v>1190</v>
      </c>
      <c r="B36" s="6" t="s">
        <v>310</v>
      </c>
      <c r="C36" s="6" t="s">
        <v>1191</v>
      </c>
      <c r="D36" s="7" t="s">
        <v>1192</v>
      </c>
      <c r="E36" s="6" t="s">
        <v>943</v>
      </c>
      <c r="F36" s="6" t="s">
        <v>930</v>
      </c>
      <c r="G36" s="6" t="s">
        <v>1193</v>
      </c>
      <c r="H36" s="6"/>
      <c r="I36" s="6"/>
      <c r="J36" s="6"/>
      <c r="K36" s="6"/>
      <c r="L36" s="7" t="s">
        <v>1194</v>
      </c>
      <c r="M36" s="6" t="n">
        <v>12</v>
      </c>
      <c r="N36" s="7" t="s">
        <v>1195</v>
      </c>
      <c r="O36" s="7"/>
      <c r="P36" s="6"/>
      <c r="Q36" s="7" t="s">
        <v>51</v>
      </c>
      <c r="R36" s="6" t="s">
        <v>32</v>
      </c>
      <c r="S36" s="6" t="s">
        <v>936</v>
      </c>
      <c r="T36" s="6"/>
      <c r="U36" s="6"/>
      <c r="V36" s="6" t="s">
        <v>1196</v>
      </c>
      <c r="W36" s="6" t="s">
        <v>55</v>
      </c>
      <c r="X36" s="6" t="s">
        <v>938</v>
      </c>
      <c r="Y36" s="7" t="s">
        <v>1197</v>
      </c>
      <c r="Z36" s="6" t="s">
        <v>39</v>
      </c>
    </row>
    <row r="37" customFormat="false" ht="45.75" hidden="false" customHeight="true" outlineLevel="0" collapsed="false">
      <c r="A37" s="6" t="s">
        <v>1198</v>
      </c>
      <c r="B37" s="6" t="s">
        <v>316</v>
      </c>
      <c r="C37" s="6" t="s">
        <v>1199</v>
      </c>
      <c r="D37" s="7" t="s">
        <v>1200</v>
      </c>
      <c r="E37" s="6" t="s">
        <v>943</v>
      </c>
      <c r="F37" s="6" t="s">
        <v>930</v>
      </c>
      <c r="G37" s="6" t="s">
        <v>1031</v>
      </c>
      <c r="H37" s="6" t="s">
        <v>932</v>
      </c>
      <c r="I37" s="6"/>
      <c r="J37" s="6"/>
      <c r="K37" s="6"/>
      <c r="L37" s="7" t="s">
        <v>1118</v>
      </c>
      <c r="M37" s="6" t="n">
        <v>12</v>
      </c>
      <c r="N37" s="7" t="s">
        <v>1201</v>
      </c>
      <c r="O37" s="7"/>
      <c r="P37" s="6"/>
      <c r="Q37" s="7" t="s">
        <v>51</v>
      </c>
      <c r="R37" s="6" t="s">
        <v>32</v>
      </c>
      <c r="S37" s="6" t="s">
        <v>936</v>
      </c>
      <c r="T37" s="6"/>
      <c r="U37" s="6" t="s">
        <v>320</v>
      </c>
      <c r="V37" s="6" t="s">
        <v>320</v>
      </c>
      <c r="W37" s="6" t="s">
        <v>65</v>
      </c>
      <c r="X37" s="6" t="s">
        <v>938</v>
      </c>
      <c r="Y37" s="7" t="s">
        <v>970</v>
      </c>
      <c r="Z37" s="6" t="s">
        <v>39</v>
      </c>
    </row>
    <row r="38" customFormat="false" ht="45.75" hidden="false" customHeight="true" outlineLevel="0" collapsed="false">
      <c r="A38" s="6" t="s">
        <v>1202</v>
      </c>
      <c r="B38" s="6" t="s">
        <v>321</v>
      </c>
      <c r="C38" s="6" t="s">
        <v>1203</v>
      </c>
      <c r="D38" s="7" t="s">
        <v>1204</v>
      </c>
      <c r="E38" s="6" t="s">
        <v>943</v>
      </c>
      <c r="F38" s="6" t="s">
        <v>944</v>
      </c>
      <c r="G38" s="6" t="s">
        <v>1031</v>
      </c>
      <c r="H38" s="6"/>
      <c r="I38" s="6"/>
      <c r="J38" s="6"/>
      <c r="K38" s="6"/>
      <c r="L38" s="7" t="s">
        <v>1205</v>
      </c>
      <c r="M38" s="6" t="n">
        <v>8</v>
      </c>
      <c r="N38" s="7" t="s">
        <v>1206</v>
      </c>
      <c r="O38" s="7"/>
      <c r="P38" s="6"/>
      <c r="Q38" s="7" t="s">
        <v>265</v>
      </c>
      <c r="R38" s="6" t="s">
        <v>32</v>
      </c>
      <c r="S38" s="6" t="s">
        <v>936</v>
      </c>
      <c r="T38" s="6"/>
      <c r="U38" s="6"/>
      <c r="V38" s="6" t="s">
        <v>1207</v>
      </c>
      <c r="W38" s="6" t="s">
        <v>55</v>
      </c>
      <c r="X38" s="6" t="s">
        <v>938</v>
      </c>
      <c r="Y38" s="7" t="s">
        <v>1208</v>
      </c>
      <c r="Z38" s="6" t="s">
        <v>39</v>
      </c>
    </row>
    <row r="39" customFormat="false" ht="57" hidden="false" customHeight="true" outlineLevel="0" collapsed="false">
      <c r="A39" s="6" t="s">
        <v>1209</v>
      </c>
      <c r="B39" s="6" t="s">
        <v>321</v>
      </c>
      <c r="C39" s="6" t="s">
        <v>1210</v>
      </c>
      <c r="D39" s="7" t="s">
        <v>1211</v>
      </c>
      <c r="E39" s="6" t="s">
        <v>943</v>
      </c>
      <c r="F39" s="6" t="s">
        <v>944</v>
      </c>
      <c r="G39" s="6" t="s">
        <v>1212</v>
      </c>
      <c r="H39" s="6" t="s">
        <v>967</v>
      </c>
      <c r="I39" s="6"/>
      <c r="J39" s="6"/>
      <c r="K39" s="6"/>
      <c r="L39" s="7" t="s">
        <v>1213</v>
      </c>
      <c r="M39" s="6" t="n">
        <v>4</v>
      </c>
      <c r="N39" s="7" t="s">
        <v>1214</v>
      </c>
      <c r="O39" s="7"/>
      <c r="P39" s="6"/>
      <c r="Q39" s="7" t="s">
        <v>265</v>
      </c>
      <c r="R39" s="6" t="s">
        <v>32</v>
      </c>
      <c r="S39" s="6" t="s">
        <v>1095</v>
      </c>
      <c r="T39" s="6"/>
      <c r="U39" s="6"/>
      <c r="V39" s="6" t="s">
        <v>1215</v>
      </c>
      <c r="W39" s="6" t="s">
        <v>55</v>
      </c>
      <c r="X39" s="6" t="s">
        <v>938</v>
      </c>
      <c r="Y39" s="7" t="s">
        <v>1216</v>
      </c>
      <c r="Z39" s="6" t="s">
        <v>39</v>
      </c>
    </row>
    <row r="40" customFormat="false" ht="34.5" hidden="false" customHeight="true" outlineLevel="0" collapsed="false">
      <c r="A40" s="6" t="s">
        <v>1217</v>
      </c>
      <c r="B40" s="6" t="s">
        <v>325</v>
      </c>
      <c r="C40" s="6" t="s">
        <v>1218</v>
      </c>
      <c r="D40" s="7" t="s">
        <v>1219</v>
      </c>
      <c r="E40" s="6" t="s">
        <v>943</v>
      </c>
      <c r="F40" s="6" t="s">
        <v>944</v>
      </c>
      <c r="G40" s="6" t="s">
        <v>1220</v>
      </c>
      <c r="H40" s="6" t="s">
        <v>932</v>
      </c>
      <c r="I40" s="6" t="n">
        <v>18000</v>
      </c>
      <c r="J40" s="6" t="s">
        <v>1174</v>
      </c>
      <c r="K40" s="6" t="s">
        <v>990</v>
      </c>
      <c r="L40" s="7" t="s">
        <v>1221</v>
      </c>
      <c r="M40" s="6" t="n">
        <v>12</v>
      </c>
      <c r="N40" s="7" t="s">
        <v>1195</v>
      </c>
      <c r="O40" s="7"/>
      <c r="P40" s="6"/>
      <c r="Q40" s="7" t="s">
        <v>265</v>
      </c>
      <c r="R40" s="6" t="s">
        <v>32</v>
      </c>
      <c r="S40" s="6" t="s">
        <v>936</v>
      </c>
      <c r="T40" s="6"/>
      <c r="U40" s="6"/>
      <c r="V40" s="6" t="s">
        <v>1222</v>
      </c>
      <c r="W40" s="6" t="s">
        <v>55</v>
      </c>
      <c r="X40" s="6" t="s">
        <v>938</v>
      </c>
      <c r="Y40" s="7" t="s">
        <v>949</v>
      </c>
      <c r="Z40" s="6" t="s">
        <v>39</v>
      </c>
    </row>
    <row r="41" customFormat="false" ht="34.5" hidden="false" customHeight="true" outlineLevel="0" collapsed="false">
      <c r="A41" s="6" t="s">
        <v>1223</v>
      </c>
      <c r="B41" s="6" t="s">
        <v>329</v>
      </c>
      <c r="C41" s="6" t="s">
        <v>1224</v>
      </c>
      <c r="D41" s="7" t="s">
        <v>1225</v>
      </c>
      <c r="E41" s="6" t="s">
        <v>943</v>
      </c>
      <c r="F41" s="6" t="s">
        <v>930</v>
      </c>
      <c r="G41" s="6" t="s">
        <v>1226</v>
      </c>
      <c r="H41" s="6"/>
      <c r="I41" s="6"/>
      <c r="J41" s="6"/>
      <c r="K41" s="6"/>
      <c r="L41" s="7" t="s">
        <v>1039</v>
      </c>
      <c r="M41" s="6" t="n">
        <v>24</v>
      </c>
      <c r="N41" s="7" t="s">
        <v>969</v>
      </c>
      <c r="O41" s="7"/>
      <c r="P41" s="6"/>
      <c r="Q41" s="7" t="s">
        <v>51</v>
      </c>
      <c r="R41" s="6" t="s">
        <v>32</v>
      </c>
      <c r="S41" s="6" t="s">
        <v>936</v>
      </c>
      <c r="T41" s="6"/>
      <c r="U41" s="6"/>
      <c r="V41" s="6" t="s">
        <v>1227</v>
      </c>
      <c r="W41" s="6" t="s">
        <v>55</v>
      </c>
      <c r="X41" s="6" t="s">
        <v>938</v>
      </c>
      <c r="Y41" s="7" t="s">
        <v>1228</v>
      </c>
      <c r="Z41" s="6" t="s">
        <v>39</v>
      </c>
    </row>
    <row r="42" customFormat="false" ht="45.75" hidden="false" customHeight="true" outlineLevel="0" collapsed="false">
      <c r="A42" s="6" t="s">
        <v>1229</v>
      </c>
      <c r="B42" s="6" t="s">
        <v>333</v>
      </c>
      <c r="C42" s="6" t="s">
        <v>1230</v>
      </c>
      <c r="D42" s="7" t="s">
        <v>1231</v>
      </c>
      <c r="E42" s="6" t="s">
        <v>943</v>
      </c>
      <c r="F42" s="6" t="s">
        <v>930</v>
      </c>
      <c r="G42" s="6" t="s">
        <v>1232</v>
      </c>
      <c r="H42" s="6"/>
      <c r="I42" s="6" t="n">
        <v>16.5</v>
      </c>
      <c r="J42" s="6" t="s">
        <v>1174</v>
      </c>
      <c r="K42" s="6" t="s">
        <v>990</v>
      </c>
      <c r="L42" s="7" t="s">
        <v>1233</v>
      </c>
      <c r="M42" s="6"/>
      <c r="N42" s="7" t="s">
        <v>37</v>
      </c>
      <c r="O42" s="7"/>
      <c r="P42" s="6"/>
      <c r="Q42" s="7" t="s">
        <v>51</v>
      </c>
      <c r="R42" s="6" t="s">
        <v>32</v>
      </c>
      <c r="S42" s="6" t="s">
        <v>1047</v>
      </c>
      <c r="T42" s="6"/>
      <c r="U42" s="6" t="s">
        <v>337</v>
      </c>
      <c r="V42" s="6" t="s">
        <v>337</v>
      </c>
      <c r="W42" s="6" t="s">
        <v>65</v>
      </c>
      <c r="X42" s="6" t="s">
        <v>938</v>
      </c>
      <c r="Y42" s="7" t="s">
        <v>1234</v>
      </c>
      <c r="Z42" s="6" t="s">
        <v>39</v>
      </c>
    </row>
    <row r="43" customFormat="false" ht="34.5" hidden="false" customHeight="true" outlineLevel="0" collapsed="false">
      <c r="A43" s="6" t="s">
        <v>1235</v>
      </c>
      <c r="B43" s="6" t="s">
        <v>338</v>
      </c>
      <c r="C43" s="6" t="s">
        <v>1236</v>
      </c>
      <c r="D43" s="7" t="s">
        <v>1237</v>
      </c>
      <c r="E43" s="6" t="s">
        <v>943</v>
      </c>
      <c r="F43" s="6" t="s">
        <v>930</v>
      </c>
      <c r="G43" s="6" t="s">
        <v>1238</v>
      </c>
      <c r="H43" s="6"/>
      <c r="I43" s="6" t="n">
        <v>10</v>
      </c>
      <c r="J43" s="6" t="s">
        <v>1174</v>
      </c>
      <c r="K43" s="6" t="s">
        <v>990</v>
      </c>
      <c r="L43" s="7" t="s">
        <v>1239</v>
      </c>
      <c r="M43" s="6"/>
      <c r="N43" s="7" t="s">
        <v>1240</v>
      </c>
      <c r="O43" s="7"/>
      <c r="P43" s="6"/>
      <c r="Q43" s="7" t="s">
        <v>51</v>
      </c>
      <c r="R43" s="6" t="s">
        <v>32</v>
      </c>
      <c r="S43" s="6" t="s">
        <v>936</v>
      </c>
      <c r="T43" s="6"/>
      <c r="U43" s="6" t="s">
        <v>342</v>
      </c>
      <c r="V43" s="6" t="s">
        <v>342</v>
      </c>
      <c r="W43" s="6" t="s">
        <v>65</v>
      </c>
      <c r="X43" s="6" t="s">
        <v>938</v>
      </c>
      <c r="Y43" s="7" t="s">
        <v>1241</v>
      </c>
      <c r="Z43" s="6" t="s">
        <v>39</v>
      </c>
    </row>
    <row r="44" customFormat="false" ht="34.5" hidden="false" customHeight="true" outlineLevel="0" collapsed="false">
      <c r="A44" s="6" t="s">
        <v>1242</v>
      </c>
      <c r="B44" s="6" t="s">
        <v>343</v>
      </c>
      <c r="C44" s="6" t="s">
        <v>1243</v>
      </c>
      <c r="D44" s="7" t="s">
        <v>1244</v>
      </c>
      <c r="E44" s="6" t="s">
        <v>943</v>
      </c>
      <c r="F44" s="6" t="s">
        <v>930</v>
      </c>
      <c r="G44" s="6" t="s">
        <v>974</v>
      </c>
      <c r="H44" s="6" t="s">
        <v>932</v>
      </c>
      <c r="I44" s="6"/>
      <c r="J44" s="6"/>
      <c r="K44" s="6"/>
      <c r="L44" s="7" t="s">
        <v>1118</v>
      </c>
      <c r="M44" s="6" t="n">
        <v>12</v>
      </c>
      <c r="N44" s="7" t="s">
        <v>1195</v>
      </c>
      <c r="O44" s="7"/>
      <c r="P44" s="6"/>
      <c r="Q44" s="7" t="s">
        <v>1245</v>
      </c>
      <c r="R44" s="6" t="s">
        <v>1246</v>
      </c>
      <c r="S44" s="6" t="s">
        <v>936</v>
      </c>
      <c r="T44" s="6"/>
      <c r="U44" s="6"/>
      <c r="V44" s="6" t="s">
        <v>1247</v>
      </c>
      <c r="W44" s="6" t="s">
        <v>55</v>
      </c>
      <c r="X44" s="6" t="s">
        <v>938</v>
      </c>
      <c r="Y44" s="7" t="s">
        <v>949</v>
      </c>
      <c r="Z44" s="6" t="s">
        <v>39</v>
      </c>
    </row>
    <row r="45" customFormat="false" ht="34.5" hidden="false" customHeight="true" outlineLevel="0" collapsed="false">
      <c r="A45" s="6" t="s">
        <v>1248</v>
      </c>
      <c r="B45" s="6" t="s">
        <v>347</v>
      </c>
      <c r="C45" s="6" t="s">
        <v>1249</v>
      </c>
      <c r="D45" s="7" t="s">
        <v>1250</v>
      </c>
      <c r="E45" s="6" t="s">
        <v>943</v>
      </c>
      <c r="F45" s="6" t="s">
        <v>930</v>
      </c>
      <c r="G45" s="6" t="s">
        <v>1031</v>
      </c>
      <c r="H45" s="6"/>
      <c r="I45" s="6"/>
      <c r="J45" s="6"/>
      <c r="K45" s="6"/>
      <c r="L45" s="7" t="s">
        <v>1039</v>
      </c>
      <c r="M45" s="6"/>
      <c r="N45" s="7" t="s">
        <v>1086</v>
      </c>
      <c r="O45" s="7"/>
      <c r="P45" s="6"/>
      <c r="Q45" s="7" t="s">
        <v>1017</v>
      </c>
      <c r="R45" s="6" t="s">
        <v>1251</v>
      </c>
      <c r="S45" s="6" t="s">
        <v>1095</v>
      </c>
      <c r="T45" s="6"/>
      <c r="U45" s="6"/>
      <c r="V45" s="6" t="s">
        <v>1252</v>
      </c>
      <c r="W45" s="6" t="s">
        <v>55</v>
      </c>
      <c r="X45" s="6" t="s">
        <v>938</v>
      </c>
      <c r="Y45" s="7" t="s">
        <v>949</v>
      </c>
      <c r="Z45" s="6" t="s">
        <v>39</v>
      </c>
    </row>
    <row r="46" customFormat="false" ht="34.5" hidden="false" customHeight="true" outlineLevel="0" collapsed="false">
      <c r="A46" s="6" t="s">
        <v>1253</v>
      </c>
      <c r="B46" s="6" t="s">
        <v>359</v>
      </c>
      <c r="C46" s="6" t="s">
        <v>1254</v>
      </c>
      <c r="D46" s="7" t="s">
        <v>1255</v>
      </c>
      <c r="E46" s="6" t="s">
        <v>943</v>
      </c>
      <c r="F46" s="6" t="s">
        <v>930</v>
      </c>
      <c r="G46" s="6" t="s">
        <v>1031</v>
      </c>
      <c r="H46" s="6" t="s">
        <v>932</v>
      </c>
      <c r="I46" s="6"/>
      <c r="J46" s="6"/>
      <c r="K46" s="6"/>
      <c r="L46" s="7" t="s">
        <v>1256</v>
      </c>
      <c r="M46" s="6" t="n">
        <v>24</v>
      </c>
      <c r="N46" s="7" t="s">
        <v>1257</v>
      </c>
      <c r="O46" s="7"/>
      <c r="P46" s="6"/>
      <c r="Q46" s="7" t="s">
        <v>361</v>
      </c>
      <c r="R46" s="6" t="s">
        <v>32</v>
      </c>
      <c r="S46" s="6" t="s">
        <v>936</v>
      </c>
      <c r="T46" s="6"/>
      <c r="U46" s="6"/>
      <c r="V46" s="6" t="s">
        <v>1258</v>
      </c>
      <c r="W46" s="6" t="s">
        <v>55</v>
      </c>
      <c r="X46" s="6" t="s">
        <v>938</v>
      </c>
      <c r="Y46" s="7" t="s">
        <v>949</v>
      </c>
      <c r="Z46" s="6" t="s">
        <v>39</v>
      </c>
    </row>
    <row r="47" customFormat="false" ht="45.75" hidden="false" customHeight="true" outlineLevel="0" collapsed="false">
      <c r="A47" s="6" t="s">
        <v>1259</v>
      </c>
      <c r="B47" s="6" t="s">
        <v>365</v>
      </c>
      <c r="C47" s="6" t="s">
        <v>1260</v>
      </c>
      <c r="D47" s="7" t="s">
        <v>1261</v>
      </c>
      <c r="E47" s="6" t="s">
        <v>943</v>
      </c>
      <c r="F47" s="6" t="s">
        <v>930</v>
      </c>
      <c r="G47" s="6" t="s">
        <v>1262</v>
      </c>
      <c r="H47" s="6" t="s">
        <v>932</v>
      </c>
      <c r="I47" s="6"/>
      <c r="J47" s="6"/>
      <c r="K47" s="6"/>
      <c r="L47" s="7" t="s">
        <v>1263</v>
      </c>
      <c r="M47" s="6" t="n">
        <v>48</v>
      </c>
      <c r="N47" s="7" t="s">
        <v>1264</v>
      </c>
      <c r="O47" s="7"/>
      <c r="P47" s="6"/>
      <c r="Q47" s="7" t="s">
        <v>51</v>
      </c>
      <c r="R47" s="6" t="s">
        <v>32</v>
      </c>
      <c r="S47" s="6" t="s">
        <v>960</v>
      </c>
      <c r="T47" s="6"/>
      <c r="U47" s="6"/>
      <c r="V47" s="6" t="s">
        <v>1265</v>
      </c>
      <c r="W47" s="6" t="s">
        <v>55</v>
      </c>
      <c r="X47" s="6" t="s">
        <v>938</v>
      </c>
      <c r="Y47" s="7" t="s">
        <v>1266</v>
      </c>
      <c r="Z47" s="6" t="s">
        <v>39</v>
      </c>
    </row>
    <row r="48" customFormat="false" ht="45.75" hidden="false" customHeight="true" outlineLevel="0" collapsed="false">
      <c r="A48" s="6" t="s">
        <v>1267</v>
      </c>
      <c r="B48" s="6" t="s">
        <v>383</v>
      </c>
      <c r="C48" s="6" t="s">
        <v>1268</v>
      </c>
      <c r="D48" s="7" t="s">
        <v>1269</v>
      </c>
      <c r="E48" s="6" t="s">
        <v>1006</v>
      </c>
      <c r="F48" s="6" t="s">
        <v>1270</v>
      </c>
      <c r="G48" s="6" t="s">
        <v>1271</v>
      </c>
      <c r="H48" s="6" t="s">
        <v>954</v>
      </c>
      <c r="I48" s="6"/>
      <c r="J48" s="6"/>
      <c r="K48" s="6" t="s">
        <v>956</v>
      </c>
      <c r="L48" s="7" t="s">
        <v>1272</v>
      </c>
      <c r="M48" s="6" t="n">
        <v>22</v>
      </c>
      <c r="N48" s="7" t="s">
        <v>1273</v>
      </c>
      <c r="O48" s="7" t="s">
        <v>1274</v>
      </c>
      <c r="P48" s="6" t="s">
        <v>898</v>
      </c>
      <c r="Q48" s="7" t="s">
        <v>387</v>
      </c>
      <c r="R48" s="6" t="s">
        <v>386</v>
      </c>
      <c r="S48" s="6" t="s">
        <v>960</v>
      </c>
      <c r="T48" s="6" t="s">
        <v>1275</v>
      </c>
      <c r="U48" s="6" t="s">
        <v>390</v>
      </c>
      <c r="V48" s="6" t="s">
        <v>390</v>
      </c>
      <c r="W48" s="6" t="s">
        <v>65</v>
      </c>
      <c r="X48" s="6" t="s">
        <v>994</v>
      </c>
      <c r="Y48" s="7"/>
      <c r="Z48" s="6" t="s">
        <v>39</v>
      </c>
    </row>
    <row r="49" customFormat="false" ht="45.75" hidden="false" customHeight="true" outlineLevel="0" collapsed="false">
      <c r="A49" s="6" t="s">
        <v>1276</v>
      </c>
      <c r="B49" s="6" t="s">
        <v>394</v>
      </c>
      <c r="C49" s="6" t="s">
        <v>1277</v>
      </c>
      <c r="D49" s="7" t="s">
        <v>1278</v>
      </c>
      <c r="E49" s="6" t="s">
        <v>943</v>
      </c>
      <c r="F49" s="6" t="s">
        <v>930</v>
      </c>
      <c r="G49" s="6" t="s">
        <v>1279</v>
      </c>
      <c r="H49" s="6" t="s">
        <v>954</v>
      </c>
      <c r="I49" s="6" t="n">
        <v>2450</v>
      </c>
      <c r="J49" s="6" t="s">
        <v>955</v>
      </c>
      <c r="K49" s="6" t="s">
        <v>956</v>
      </c>
      <c r="L49" s="7" t="s">
        <v>1280</v>
      </c>
      <c r="M49" s="6" t="n">
        <v>26</v>
      </c>
      <c r="N49" s="7" t="s">
        <v>1281</v>
      </c>
      <c r="O49" s="7" t="s">
        <v>1282</v>
      </c>
      <c r="P49" s="6" t="s">
        <v>397</v>
      </c>
      <c r="Q49" s="7" t="s">
        <v>397</v>
      </c>
      <c r="R49" s="6" t="s">
        <v>396</v>
      </c>
      <c r="S49" s="6" t="s">
        <v>960</v>
      </c>
      <c r="T49" s="6" t="s">
        <v>1283</v>
      </c>
      <c r="U49" s="6" t="s">
        <v>1284</v>
      </c>
      <c r="V49" s="6" t="s">
        <v>1284</v>
      </c>
      <c r="W49" s="6" t="s">
        <v>65</v>
      </c>
      <c r="X49" s="6" t="s">
        <v>994</v>
      </c>
      <c r="Y49" s="7"/>
      <c r="Z49" s="6" t="s">
        <v>39</v>
      </c>
    </row>
    <row r="50" customFormat="false" ht="57" hidden="false" customHeight="true" outlineLevel="0" collapsed="false">
      <c r="A50" s="6" t="s">
        <v>1285</v>
      </c>
      <c r="B50" s="6" t="s">
        <v>402</v>
      </c>
      <c r="C50" s="6" t="s">
        <v>1286</v>
      </c>
      <c r="D50" s="7" t="s">
        <v>1287</v>
      </c>
      <c r="E50" s="6" t="s">
        <v>943</v>
      </c>
      <c r="F50" s="6" t="s">
        <v>1270</v>
      </c>
      <c r="G50" s="6" t="s">
        <v>1288</v>
      </c>
      <c r="H50" s="6" t="s">
        <v>954</v>
      </c>
      <c r="I50" s="6" t="n">
        <v>2170</v>
      </c>
      <c r="J50" s="6" t="s">
        <v>955</v>
      </c>
      <c r="K50" s="6" t="s">
        <v>956</v>
      </c>
      <c r="L50" s="7" t="s">
        <v>1289</v>
      </c>
      <c r="M50" s="6" t="n">
        <v>26</v>
      </c>
      <c r="N50" s="7" t="s">
        <v>1290</v>
      </c>
      <c r="O50" s="7" t="s">
        <v>1291</v>
      </c>
      <c r="P50" s="6" t="s">
        <v>397</v>
      </c>
      <c r="Q50" s="7" t="s">
        <v>397</v>
      </c>
      <c r="R50" s="6" t="s">
        <v>396</v>
      </c>
      <c r="S50" s="6" t="s">
        <v>1047</v>
      </c>
      <c r="T50" s="6"/>
      <c r="U50" s="6" t="s">
        <v>406</v>
      </c>
      <c r="V50" s="6" t="s">
        <v>406</v>
      </c>
      <c r="W50" s="6" t="s">
        <v>65</v>
      </c>
      <c r="X50" s="6" t="s">
        <v>994</v>
      </c>
      <c r="Y50" s="7"/>
      <c r="Z50" s="6" t="s">
        <v>39</v>
      </c>
    </row>
    <row r="51" customFormat="false" ht="34.5" hidden="false" customHeight="true" outlineLevel="0" collapsed="false">
      <c r="A51" s="6" t="s">
        <v>1292</v>
      </c>
      <c r="B51" s="6" t="s">
        <v>408</v>
      </c>
      <c r="C51" s="6" t="s">
        <v>1293</v>
      </c>
      <c r="D51" s="7" t="s">
        <v>1294</v>
      </c>
      <c r="E51" s="6" t="s">
        <v>943</v>
      </c>
      <c r="F51" s="6" t="s">
        <v>930</v>
      </c>
      <c r="G51" s="6" t="s">
        <v>1295</v>
      </c>
      <c r="H51" s="6" t="s">
        <v>954</v>
      </c>
      <c r="I51" s="6" t="n">
        <v>60</v>
      </c>
      <c r="J51" s="6" t="s">
        <v>955</v>
      </c>
      <c r="K51" s="6" t="s">
        <v>1296</v>
      </c>
      <c r="L51" s="7" t="s">
        <v>1297</v>
      </c>
      <c r="M51" s="6" t="n">
        <v>26</v>
      </c>
      <c r="N51" s="7" t="s">
        <v>1298</v>
      </c>
      <c r="O51" s="7" t="s">
        <v>1299</v>
      </c>
      <c r="P51" s="6" t="s">
        <v>397</v>
      </c>
      <c r="Q51" s="7" t="s">
        <v>397</v>
      </c>
      <c r="R51" s="6" t="s">
        <v>396</v>
      </c>
      <c r="S51" s="6" t="s">
        <v>1047</v>
      </c>
      <c r="T51" s="6"/>
      <c r="U51" s="6" t="s">
        <v>412</v>
      </c>
      <c r="V51" s="6" t="s">
        <v>412</v>
      </c>
      <c r="W51" s="6" t="s">
        <v>65</v>
      </c>
      <c r="X51" s="6" t="s">
        <v>994</v>
      </c>
      <c r="Y51" s="7"/>
      <c r="Z51" s="6" t="s">
        <v>39</v>
      </c>
    </row>
    <row r="52" customFormat="false" ht="34.5" hidden="false" customHeight="true" outlineLevel="0" collapsed="false">
      <c r="A52" s="6" t="s">
        <v>1300</v>
      </c>
      <c r="B52" s="6" t="s">
        <v>415</v>
      </c>
      <c r="C52" s="6" t="s">
        <v>1301</v>
      </c>
      <c r="D52" s="7" t="s">
        <v>1302</v>
      </c>
      <c r="E52" s="6" t="s">
        <v>943</v>
      </c>
      <c r="F52" s="6" t="s">
        <v>944</v>
      </c>
      <c r="G52" s="6" t="s">
        <v>1303</v>
      </c>
      <c r="H52" s="6"/>
      <c r="I52" s="6"/>
      <c r="J52" s="6"/>
      <c r="K52" s="6"/>
      <c r="L52" s="7" t="s">
        <v>1304</v>
      </c>
      <c r="M52" s="6" t="n">
        <v>26</v>
      </c>
      <c r="N52" s="7" t="s">
        <v>1298</v>
      </c>
      <c r="O52" s="7" t="s">
        <v>1305</v>
      </c>
      <c r="P52" s="6" t="s">
        <v>397</v>
      </c>
      <c r="Q52" s="7" t="s">
        <v>397</v>
      </c>
      <c r="R52" s="6" t="s">
        <v>396</v>
      </c>
      <c r="S52" s="6" t="s">
        <v>936</v>
      </c>
      <c r="T52" s="6"/>
      <c r="U52" s="6" t="s">
        <v>419</v>
      </c>
      <c r="V52" s="6" t="s">
        <v>419</v>
      </c>
      <c r="W52" s="6" t="s">
        <v>65</v>
      </c>
      <c r="X52" s="6" t="s">
        <v>938</v>
      </c>
      <c r="Y52" s="7" t="s">
        <v>1306</v>
      </c>
      <c r="Z52" s="6" t="s">
        <v>39</v>
      </c>
    </row>
    <row r="53" customFormat="false" ht="45.75" hidden="false" customHeight="true" outlineLevel="0" collapsed="false">
      <c r="A53" s="6" t="s">
        <v>1307</v>
      </c>
      <c r="B53" s="6" t="s">
        <v>422</v>
      </c>
      <c r="C53" s="6" t="s">
        <v>1308</v>
      </c>
      <c r="D53" s="7" t="s">
        <v>1309</v>
      </c>
      <c r="E53" s="6" t="s">
        <v>943</v>
      </c>
      <c r="F53" s="6" t="s">
        <v>930</v>
      </c>
      <c r="G53" s="6" t="s">
        <v>1310</v>
      </c>
      <c r="H53" s="6" t="s">
        <v>954</v>
      </c>
      <c r="I53" s="6"/>
      <c r="J53" s="6" t="s">
        <v>989</v>
      </c>
      <c r="K53" s="6" t="s">
        <v>956</v>
      </c>
      <c r="L53" s="7" t="s">
        <v>1311</v>
      </c>
      <c r="M53" s="6" t="n">
        <v>26</v>
      </c>
      <c r="N53" s="7" t="s">
        <v>1312</v>
      </c>
      <c r="O53" s="7" t="s">
        <v>1313</v>
      </c>
      <c r="P53" s="6" t="s">
        <v>425</v>
      </c>
      <c r="Q53" s="7" t="s">
        <v>425</v>
      </c>
      <c r="R53" s="6" t="s">
        <v>424</v>
      </c>
      <c r="S53" s="6" t="s">
        <v>1047</v>
      </c>
      <c r="T53" s="6"/>
      <c r="U53" s="6" t="s">
        <v>1314</v>
      </c>
      <c r="V53" s="6" t="s">
        <v>1314</v>
      </c>
      <c r="W53" s="6" t="s">
        <v>65</v>
      </c>
      <c r="X53" s="6" t="s">
        <v>994</v>
      </c>
      <c r="Y53" s="7"/>
      <c r="Z53" s="6" t="s">
        <v>39</v>
      </c>
    </row>
    <row r="54" customFormat="false" ht="57" hidden="false" customHeight="true" outlineLevel="0" collapsed="false">
      <c r="A54" s="6" t="s">
        <v>1315</v>
      </c>
      <c r="B54" s="6" t="s">
        <v>430</v>
      </c>
      <c r="C54" s="6" t="s">
        <v>1316</v>
      </c>
      <c r="D54" s="7" t="s">
        <v>1317</v>
      </c>
      <c r="E54" s="6" t="s">
        <v>943</v>
      </c>
      <c r="F54" s="6" t="s">
        <v>944</v>
      </c>
      <c r="G54" s="6" t="s">
        <v>1318</v>
      </c>
      <c r="H54" s="6" t="s">
        <v>954</v>
      </c>
      <c r="I54" s="6"/>
      <c r="J54" s="6" t="s">
        <v>989</v>
      </c>
      <c r="K54" s="6" t="s">
        <v>956</v>
      </c>
      <c r="L54" s="7" t="s">
        <v>1319</v>
      </c>
      <c r="M54" s="6" t="n">
        <v>26</v>
      </c>
      <c r="N54" s="7" t="s">
        <v>1320</v>
      </c>
      <c r="O54" s="7" t="s">
        <v>1321</v>
      </c>
      <c r="P54" s="6" t="s">
        <v>433</v>
      </c>
      <c r="Q54" s="7" t="s">
        <v>433</v>
      </c>
      <c r="R54" s="6" t="s">
        <v>432</v>
      </c>
      <c r="S54" s="6" t="s">
        <v>936</v>
      </c>
      <c r="T54" s="6"/>
      <c r="U54" s="6" t="s">
        <v>436</v>
      </c>
      <c r="V54" s="6" t="s">
        <v>436</v>
      </c>
      <c r="W54" s="6" t="s">
        <v>65</v>
      </c>
      <c r="X54" s="6" t="s">
        <v>994</v>
      </c>
      <c r="Y54" s="7"/>
      <c r="Z54" s="6" t="s">
        <v>39</v>
      </c>
    </row>
    <row r="55" customFormat="false" ht="45.75" hidden="false" customHeight="true" outlineLevel="0" collapsed="false">
      <c r="A55" s="6" t="s">
        <v>1322</v>
      </c>
      <c r="B55" s="6" t="s">
        <v>439</v>
      </c>
      <c r="C55" s="6" t="s">
        <v>1323</v>
      </c>
      <c r="D55" s="7" t="s">
        <v>1324</v>
      </c>
      <c r="E55" s="6" t="s">
        <v>943</v>
      </c>
      <c r="F55" s="6" t="s">
        <v>930</v>
      </c>
      <c r="G55" s="6" t="s">
        <v>945</v>
      </c>
      <c r="H55" s="6" t="s">
        <v>954</v>
      </c>
      <c r="I55" s="6"/>
      <c r="J55" s="6"/>
      <c r="K55" s="6" t="s">
        <v>956</v>
      </c>
      <c r="L55" s="7" t="s">
        <v>1325</v>
      </c>
      <c r="M55" s="6" t="n">
        <v>26</v>
      </c>
      <c r="N55" s="7" t="s">
        <v>1281</v>
      </c>
      <c r="O55" s="7" t="s">
        <v>1326</v>
      </c>
      <c r="P55" s="6" t="s">
        <v>433</v>
      </c>
      <c r="Q55" s="7" t="s">
        <v>433</v>
      </c>
      <c r="R55" s="6" t="s">
        <v>432</v>
      </c>
      <c r="S55" s="6" t="s">
        <v>936</v>
      </c>
      <c r="T55" s="6"/>
      <c r="U55" s="6" t="s">
        <v>443</v>
      </c>
      <c r="V55" s="6" t="s">
        <v>443</v>
      </c>
      <c r="W55" s="6" t="s">
        <v>65</v>
      </c>
      <c r="X55" s="6" t="s">
        <v>994</v>
      </c>
      <c r="Y55" s="7"/>
      <c r="Z55" s="6" t="s">
        <v>39</v>
      </c>
    </row>
    <row r="56" customFormat="false" ht="45.75" hidden="false" customHeight="true" outlineLevel="0" collapsed="false">
      <c r="A56" s="6" t="s">
        <v>1327</v>
      </c>
      <c r="B56" s="6" t="s">
        <v>446</v>
      </c>
      <c r="C56" s="6" t="s">
        <v>1328</v>
      </c>
      <c r="D56" s="7" t="s">
        <v>1329</v>
      </c>
      <c r="E56" s="6" t="s">
        <v>943</v>
      </c>
      <c r="F56" s="6" t="s">
        <v>1270</v>
      </c>
      <c r="G56" s="6" t="s">
        <v>1031</v>
      </c>
      <c r="H56" s="6"/>
      <c r="I56" s="6"/>
      <c r="J56" s="6"/>
      <c r="K56" s="6"/>
      <c r="L56" s="7" t="s">
        <v>1330</v>
      </c>
      <c r="M56" s="6" t="n">
        <v>26</v>
      </c>
      <c r="N56" s="7" t="s">
        <v>1086</v>
      </c>
      <c r="O56" s="7"/>
      <c r="P56" s="6" t="s">
        <v>425</v>
      </c>
      <c r="Q56" s="7" t="s">
        <v>425</v>
      </c>
      <c r="R56" s="6" t="s">
        <v>424</v>
      </c>
      <c r="S56" s="6" t="s">
        <v>936</v>
      </c>
      <c r="T56" s="6"/>
      <c r="U56" s="6"/>
      <c r="V56" s="6" t="s">
        <v>1331</v>
      </c>
      <c r="W56" s="6" t="s">
        <v>55</v>
      </c>
      <c r="X56" s="6" t="s">
        <v>938</v>
      </c>
      <c r="Y56" s="7" t="s">
        <v>1332</v>
      </c>
      <c r="Z56" s="6" t="s">
        <v>39</v>
      </c>
    </row>
    <row r="57" customFormat="false" ht="34.5" hidden="false" customHeight="true" outlineLevel="0" collapsed="false">
      <c r="A57" s="6" t="s">
        <v>1333</v>
      </c>
      <c r="B57" s="6" t="s">
        <v>452</v>
      </c>
      <c r="C57" s="6" t="s">
        <v>1334</v>
      </c>
      <c r="D57" s="7" t="s">
        <v>1335</v>
      </c>
      <c r="E57" s="6" t="s">
        <v>943</v>
      </c>
      <c r="F57" s="6" t="s">
        <v>1270</v>
      </c>
      <c r="G57" s="6" t="s">
        <v>1336</v>
      </c>
      <c r="H57" s="6"/>
      <c r="I57" s="6"/>
      <c r="J57" s="6"/>
      <c r="K57" s="6"/>
      <c r="L57" s="7" t="s">
        <v>1337</v>
      </c>
      <c r="M57" s="6" t="n">
        <v>26</v>
      </c>
      <c r="N57" s="7" t="s">
        <v>1338</v>
      </c>
      <c r="O57" s="7"/>
      <c r="P57" s="6" t="s">
        <v>397</v>
      </c>
      <c r="Q57" s="7" t="s">
        <v>455</v>
      </c>
      <c r="R57" s="6" t="s">
        <v>454</v>
      </c>
      <c r="S57" s="6" t="s">
        <v>936</v>
      </c>
      <c r="T57" s="6"/>
      <c r="U57" s="6"/>
      <c r="V57" s="6" t="s">
        <v>1331</v>
      </c>
      <c r="W57" s="6" t="s">
        <v>55</v>
      </c>
      <c r="X57" s="6" t="s">
        <v>938</v>
      </c>
      <c r="Y57" s="7" t="s">
        <v>1332</v>
      </c>
      <c r="Z57" s="6" t="s">
        <v>39</v>
      </c>
    </row>
    <row r="58" customFormat="false" ht="57" hidden="false" customHeight="true" outlineLevel="0" collapsed="false">
      <c r="A58" s="6" t="s">
        <v>1339</v>
      </c>
      <c r="B58" s="6" t="s">
        <v>458</v>
      </c>
      <c r="C58" s="6" t="s">
        <v>1340</v>
      </c>
      <c r="D58" s="7" t="s">
        <v>1341</v>
      </c>
      <c r="E58" s="6" t="s">
        <v>1006</v>
      </c>
      <c r="F58" s="6" t="s">
        <v>944</v>
      </c>
      <c r="G58" s="6" t="s">
        <v>1342</v>
      </c>
      <c r="H58" s="6" t="s">
        <v>954</v>
      </c>
      <c r="I58" s="6" t="n">
        <v>3407</v>
      </c>
      <c r="J58" s="6" t="s">
        <v>955</v>
      </c>
      <c r="K58" s="6" t="s">
        <v>956</v>
      </c>
      <c r="L58" s="7" t="s">
        <v>1343</v>
      </c>
      <c r="M58" s="6" t="n">
        <v>52</v>
      </c>
      <c r="N58" s="7" t="s">
        <v>1344</v>
      </c>
      <c r="O58" s="7"/>
      <c r="P58" s="6" t="s">
        <v>397</v>
      </c>
      <c r="Q58" s="7" t="s">
        <v>397</v>
      </c>
      <c r="R58" s="6" t="s">
        <v>396</v>
      </c>
      <c r="S58" s="6" t="s">
        <v>960</v>
      </c>
      <c r="T58" s="6"/>
      <c r="U58" s="6" t="s">
        <v>1345</v>
      </c>
      <c r="V58" s="6" t="s">
        <v>1345</v>
      </c>
      <c r="W58" s="6" t="s">
        <v>65</v>
      </c>
      <c r="X58" s="6" t="s">
        <v>938</v>
      </c>
      <c r="Y58" s="7" t="s">
        <v>1346</v>
      </c>
      <c r="Z58" s="6" t="s">
        <v>39</v>
      </c>
    </row>
    <row r="59" customFormat="false" ht="34.5" hidden="false" customHeight="true" outlineLevel="0" collapsed="false">
      <c r="A59" s="6" t="s">
        <v>1347</v>
      </c>
      <c r="B59" s="6" t="s">
        <v>458</v>
      </c>
      <c r="C59" s="6" t="s">
        <v>1348</v>
      </c>
      <c r="D59" s="7" t="s">
        <v>1349</v>
      </c>
      <c r="E59" s="6" t="s">
        <v>943</v>
      </c>
      <c r="F59" s="6" t="s">
        <v>944</v>
      </c>
      <c r="G59" s="6" t="s">
        <v>1350</v>
      </c>
      <c r="H59" s="6" t="s">
        <v>954</v>
      </c>
      <c r="I59" s="6" t="n">
        <v>1577</v>
      </c>
      <c r="J59" s="6" t="s">
        <v>955</v>
      </c>
      <c r="K59" s="6" t="s">
        <v>956</v>
      </c>
      <c r="L59" s="7" t="s">
        <v>1351</v>
      </c>
      <c r="M59" s="6" t="n">
        <v>26</v>
      </c>
      <c r="N59" s="7" t="s">
        <v>1352</v>
      </c>
      <c r="O59" s="7" t="s">
        <v>1353</v>
      </c>
      <c r="P59" s="6" t="s">
        <v>397</v>
      </c>
      <c r="Q59" s="7" t="s">
        <v>397</v>
      </c>
      <c r="R59" s="6" t="s">
        <v>396</v>
      </c>
      <c r="S59" s="6" t="s">
        <v>936</v>
      </c>
      <c r="T59" s="6"/>
      <c r="U59" s="6" t="s">
        <v>1354</v>
      </c>
      <c r="V59" s="6" t="s">
        <v>1354</v>
      </c>
      <c r="W59" s="6" t="s">
        <v>65</v>
      </c>
      <c r="X59" s="6" t="s">
        <v>938</v>
      </c>
      <c r="Y59" s="7" t="s">
        <v>1355</v>
      </c>
      <c r="Z59" s="6" t="s">
        <v>39</v>
      </c>
    </row>
    <row r="60" customFormat="false" ht="57" hidden="false" customHeight="true" outlineLevel="0" collapsed="false">
      <c r="A60" s="6" t="s">
        <v>1356</v>
      </c>
      <c r="B60" s="6" t="s">
        <v>220</v>
      </c>
      <c r="C60" s="6" t="s">
        <v>1357</v>
      </c>
      <c r="D60" s="7" t="s">
        <v>1358</v>
      </c>
      <c r="E60" s="6" t="s">
        <v>943</v>
      </c>
      <c r="F60" s="6" t="s">
        <v>930</v>
      </c>
      <c r="G60" s="6" t="s">
        <v>1359</v>
      </c>
      <c r="H60" s="6" t="s">
        <v>954</v>
      </c>
      <c r="I60" s="6"/>
      <c r="J60" s="6"/>
      <c r="K60" s="6" t="s">
        <v>956</v>
      </c>
      <c r="L60" s="7" t="s">
        <v>1360</v>
      </c>
      <c r="M60" s="6" t="n">
        <v>26</v>
      </c>
      <c r="N60" s="7" t="s">
        <v>1361</v>
      </c>
      <c r="O60" s="7" t="s">
        <v>1362</v>
      </c>
      <c r="P60" s="6" t="s">
        <v>397</v>
      </c>
      <c r="Q60" s="7" t="s">
        <v>1363</v>
      </c>
      <c r="R60" s="6" t="s">
        <v>1364</v>
      </c>
      <c r="S60" s="6" t="s">
        <v>936</v>
      </c>
      <c r="T60" s="6"/>
      <c r="U60" s="6" t="s">
        <v>224</v>
      </c>
      <c r="V60" s="6" t="s">
        <v>224</v>
      </c>
      <c r="W60" s="6" t="s">
        <v>65</v>
      </c>
      <c r="X60" s="6" t="s">
        <v>994</v>
      </c>
      <c r="Y60" s="7"/>
      <c r="Z60" s="6" t="s">
        <v>875</v>
      </c>
    </row>
    <row r="61" customFormat="false" ht="45.75" hidden="false" customHeight="true" outlineLevel="0" collapsed="false">
      <c r="A61" s="6" t="s">
        <v>1365</v>
      </c>
      <c r="B61" s="6" t="s">
        <v>206</v>
      </c>
      <c r="C61" s="6" t="s">
        <v>1366</v>
      </c>
      <c r="D61" s="7" t="s">
        <v>1367</v>
      </c>
      <c r="E61" s="6" t="s">
        <v>943</v>
      </c>
      <c r="F61" s="6" t="s">
        <v>1270</v>
      </c>
      <c r="G61" s="6" t="s">
        <v>1368</v>
      </c>
      <c r="H61" s="6" t="s">
        <v>954</v>
      </c>
      <c r="I61" s="6"/>
      <c r="J61" s="6"/>
      <c r="K61" s="6" t="s">
        <v>956</v>
      </c>
      <c r="L61" s="7" t="s">
        <v>1369</v>
      </c>
      <c r="M61" s="6" t="n">
        <v>26</v>
      </c>
      <c r="N61" s="7" t="s">
        <v>1370</v>
      </c>
      <c r="O61" s="7" t="s">
        <v>1371</v>
      </c>
      <c r="P61" s="6" t="s">
        <v>397</v>
      </c>
      <c r="Q61" s="7" t="s">
        <v>1372</v>
      </c>
      <c r="R61" s="6" t="s">
        <v>1373</v>
      </c>
      <c r="S61" s="6" t="s">
        <v>936</v>
      </c>
      <c r="T61" s="6"/>
      <c r="U61" s="6" t="s">
        <v>1374</v>
      </c>
      <c r="V61" s="6" t="s">
        <v>1374</v>
      </c>
      <c r="W61" s="6" t="s">
        <v>65</v>
      </c>
      <c r="X61" s="6" t="s">
        <v>994</v>
      </c>
      <c r="Y61" s="7"/>
      <c r="Z61" s="6" t="s">
        <v>39</v>
      </c>
    </row>
    <row r="62" customFormat="false" ht="45.75" hidden="false" customHeight="true" outlineLevel="0" collapsed="false">
      <c r="A62" s="6" t="s">
        <v>1375</v>
      </c>
      <c r="B62" s="6" t="s">
        <v>234</v>
      </c>
      <c r="C62" s="6" t="s">
        <v>1376</v>
      </c>
      <c r="D62" s="7" t="s">
        <v>1377</v>
      </c>
      <c r="E62" s="6" t="s">
        <v>943</v>
      </c>
      <c r="F62" s="6" t="s">
        <v>1270</v>
      </c>
      <c r="G62" s="6" t="s">
        <v>1378</v>
      </c>
      <c r="H62" s="6" t="s">
        <v>954</v>
      </c>
      <c r="I62" s="6" t="n">
        <v>1000</v>
      </c>
      <c r="J62" s="6" t="s">
        <v>1379</v>
      </c>
      <c r="K62" s="6" t="s">
        <v>956</v>
      </c>
      <c r="L62" s="7" t="s">
        <v>1380</v>
      </c>
      <c r="M62" s="6" t="n">
        <v>26</v>
      </c>
      <c r="N62" s="7" t="s">
        <v>1381</v>
      </c>
      <c r="O62" s="7" t="s">
        <v>1382</v>
      </c>
      <c r="P62" s="6" t="s">
        <v>468</v>
      </c>
      <c r="Q62" s="7" t="s">
        <v>468</v>
      </c>
      <c r="R62" s="6" t="s">
        <v>467</v>
      </c>
      <c r="S62" s="6" t="s">
        <v>936</v>
      </c>
      <c r="T62" s="6"/>
      <c r="U62" s="6" t="s">
        <v>238</v>
      </c>
      <c r="V62" s="6" t="s">
        <v>238</v>
      </c>
      <c r="W62" s="6" t="s">
        <v>65</v>
      </c>
      <c r="X62" s="6" t="s">
        <v>994</v>
      </c>
      <c r="Y62" s="7"/>
      <c r="Z62" s="6" t="s">
        <v>39</v>
      </c>
    </row>
    <row r="63" customFormat="false" ht="57" hidden="false" customHeight="true" outlineLevel="0" collapsed="false">
      <c r="A63" s="6" t="s">
        <v>1383</v>
      </c>
      <c r="B63" s="6" t="s">
        <v>465</v>
      </c>
      <c r="C63" s="6" t="s">
        <v>1384</v>
      </c>
      <c r="D63" s="7" t="s">
        <v>1385</v>
      </c>
      <c r="E63" s="6" t="s">
        <v>943</v>
      </c>
      <c r="F63" s="6" t="s">
        <v>1270</v>
      </c>
      <c r="G63" s="6" t="s">
        <v>1386</v>
      </c>
      <c r="H63" s="6" t="s">
        <v>954</v>
      </c>
      <c r="I63" s="6"/>
      <c r="J63" s="6" t="s">
        <v>1379</v>
      </c>
      <c r="K63" s="6" t="s">
        <v>956</v>
      </c>
      <c r="L63" s="7" t="s">
        <v>1387</v>
      </c>
      <c r="M63" s="6" t="n">
        <v>26</v>
      </c>
      <c r="N63" s="7" t="s">
        <v>1388</v>
      </c>
      <c r="O63" s="7" t="s">
        <v>1389</v>
      </c>
      <c r="P63" s="6" t="s">
        <v>468</v>
      </c>
      <c r="Q63" s="7" t="s">
        <v>468</v>
      </c>
      <c r="R63" s="6" t="s">
        <v>467</v>
      </c>
      <c r="S63" s="6" t="s">
        <v>960</v>
      </c>
      <c r="T63" s="6"/>
      <c r="U63" s="6" t="s">
        <v>471</v>
      </c>
      <c r="V63" s="6" t="s">
        <v>471</v>
      </c>
      <c r="W63" s="6" t="s">
        <v>65</v>
      </c>
      <c r="X63" s="6" t="s">
        <v>994</v>
      </c>
      <c r="Y63" s="7"/>
      <c r="Z63" s="6" t="s">
        <v>39</v>
      </c>
    </row>
    <row r="64" customFormat="false" ht="45.75" hidden="false" customHeight="true" outlineLevel="0" collapsed="false">
      <c r="A64" s="6" t="s">
        <v>1390</v>
      </c>
      <c r="B64" s="6" t="s">
        <v>474</v>
      </c>
      <c r="C64" s="6" t="s">
        <v>1391</v>
      </c>
      <c r="D64" s="7" t="s">
        <v>1392</v>
      </c>
      <c r="E64" s="6" t="s">
        <v>943</v>
      </c>
      <c r="F64" s="6" t="s">
        <v>930</v>
      </c>
      <c r="G64" s="6" t="s">
        <v>1393</v>
      </c>
      <c r="H64" s="6" t="s">
        <v>954</v>
      </c>
      <c r="I64" s="6"/>
      <c r="J64" s="6"/>
      <c r="K64" s="6" t="s">
        <v>956</v>
      </c>
      <c r="L64" s="7" t="s">
        <v>1394</v>
      </c>
      <c r="M64" s="6" t="n">
        <v>26</v>
      </c>
      <c r="N64" s="7" t="s">
        <v>969</v>
      </c>
      <c r="O64" s="7" t="s">
        <v>1395</v>
      </c>
      <c r="P64" s="6" t="s">
        <v>468</v>
      </c>
      <c r="Q64" s="7" t="s">
        <v>468</v>
      </c>
      <c r="R64" s="6" t="s">
        <v>467</v>
      </c>
      <c r="S64" s="6" t="s">
        <v>936</v>
      </c>
      <c r="T64" s="6"/>
      <c r="U64" s="6" t="s">
        <v>478</v>
      </c>
      <c r="V64" s="6" t="s">
        <v>478</v>
      </c>
      <c r="W64" s="6" t="s">
        <v>65</v>
      </c>
      <c r="X64" s="6" t="s">
        <v>994</v>
      </c>
      <c r="Y64" s="7"/>
      <c r="Z64" s="6" t="s">
        <v>39</v>
      </c>
    </row>
    <row r="65" customFormat="false" ht="34.5" hidden="false" customHeight="true" outlineLevel="0" collapsed="false">
      <c r="A65" s="6" t="s">
        <v>1396</v>
      </c>
      <c r="B65" s="6" t="s">
        <v>481</v>
      </c>
      <c r="C65" s="6" t="s">
        <v>1397</v>
      </c>
      <c r="D65" s="7" t="s">
        <v>1398</v>
      </c>
      <c r="E65" s="6" t="s">
        <v>943</v>
      </c>
      <c r="F65" s="6" t="s">
        <v>1270</v>
      </c>
      <c r="G65" s="6" t="s">
        <v>1399</v>
      </c>
      <c r="H65" s="6" t="s">
        <v>954</v>
      </c>
      <c r="I65" s="6"/>
      <c r="J65" s="6" t="s">
        <v>955</v>
      </c>
      <c r="K65" s="6" t="s">
        <v>956</v>
      </c>
      <c r="L65" s="7" t="s">
        <v>1400</v>
      </c>
      <c r="M65" s="6" t="n">
        <v>24</v>
      </c>
      <c r="N65" s="7" t="s">
        <v>1401</v>
      </c>
      <c r="O65" s="7" t="s">
        <v>1402</v>
      </c>
      <c r="P65" s="6" t="s">
        <v>397</v>
      </c>
      <c r="Q65" s="7" t="s">
        <v>397</v>
      </c>
      <c r="R65" s="6" t="s">
        <v>396</v>
      </c>
      <c r="S65" s="6" t="s">
        <v>936</v>
      </c>
      <c r="T65" s="6"/>
      <c r="U65" s="6" t="s">
        <v>486</v>
      </c>
      <c r="V65" s="6" t="s">
        <v>486</v>
      </c>
      <c r="W65" s="6" t="s">
        <v>65</v>
      </c>
      <c r="X65" s="6" t="s">
        <v>994</v>
      </c>
      <c r="Y65" s="7"/>
      <c r="Z65" s="6" t="s">
        <v>39</v>
      </c>
    </row>
    <row r="66" customFormat="false" ht="34.5" hidden="false" customHeight="true" outlineLevel="0" collapsed="false">
      <c r="A66" s="6" t="s">
        <v>1403</v>
      </c>
      <c r="B66" s="6" t="s">
        <v>491</v>
      </c>
      <c r="C66" s="6" t="s">
        <v>1404</v>
      </c>
      <c r="D66" s="7" t="s">
        <v>1405</v>
      </c>
      <c r="E66" s="6" t="s">
        <v>943</v>
      </c>
      <c r="F66" s="6" t="s">
        <v>1270</v>
      </c>
      <c r="G66" s="6" t="s">
        <v>1406</v>
      </c>
      <c r="H66" s="6" t="s">
        <v>954</v>
      </c>
      <c r="I66" s="6" t="n">
        <v>2000</v>
      </c>
      <c r="J66" s="6" t="s">
        <v>955</v>
      </c>
      <c r="K66" s="6" t="s">
        <v>956</v>
      </c>
      <c r="L66" s="7" t="s">
        <v>1407</v>
      </c>
      <c r="M66" s="6"/>
      <c r="N66" s="7" t="s">
        <v>37</v>
      </c>
      <c r="O66" s="7"/>
      <c r="P66" s="6" t="s">
        <v>397</v>
      </c>
      <c r="Q66" s="7" t="s">
        <v>397</v>
      </c>
      <c r="R66" s="6" t="s">
        <v>396</v>
      </c>
      <c r="S66" s="6" t="s">
        <v>936</v>
      </c>
      <c r="T66" s="6"/>
      <c r="U66" s="6"/>
      <c r="V66" s="6" t="s">
        <v>1408</v>
      </c>
      <c r="W66" s="6" t="s">
        <v>55</v>
      </c>
      <c r="X66" s="6" t="s">
        <v>938</v>
      </c>
      <c r="Y66" s="7" t="s">
        <v>962</v>
      </c>
      <c r="Z66" s="6" t="s">
        <v>39</v>
      </c>
    </row>
    <row r="67" customFormat="false" ht="45.75" hidden="false" customHeight="true" outlineLevel="0" collapsed="false">
      <c r="A67" s="6" t="s">
        <v>1409</v>
      </c>
      <c r="B67" s="6" t="s">
        <v>498</v>
      </c>
      <c r="C67" s="6" t="s">
        <v>1410</v>
      </c>
      <c r="D67" s="7" t="s">
        <v>1411</v>
      </c>
      <c r="E67" s="6" t="s">
        <v>1006</v>
      </c>
      <c r="F67" s="6" t="s">
        <v>930</v>
      </c>
      <c r="G67" s="6" t="s">
        <v>966</v>
      </c>
      <c r="H67" s="6" t="s">
        <v>932</v>
      </c>
      <c r="I67" s="6" t="n">
        <v>3917</v>
      </c>
      <c r="J67" s="6" t="s">
        <v>955</v>
      </c>
      <c r="K67" s="6" t="s">
        <v>956</v>
      </c>
      <c r="L67" s="7" t="s">
        <v>1412</v>
      </c>
      <c r="M67" s="6" t="n">
        <v>52</v>
      </c>
      <c r="N67" s="7" t="s">
        <v>1413</v>
      </c>
      <c r="O67" s="7" t="s">
        <v>1414</v>
      </c>
      <c r="P67" s="6" t="s">
        <v>397</v>
      </c>
      <c r="Q67" s="7" t="s">
        <v>397</v>
      </c>
      <c r="R67" s="6" t="s">
        <v>396</v>
      </c>
      <c r="S67" s="6" t="s">
        <v>960</v>
      </c>
      <c r="T67" s="6"/>
      <c r="U67" s="6"/>
      <c r="V67" s="6" t="s">
        <v>1415</v>
      </c>
      <c r="W67" s="6" t="s">
        <v>55</v>
      </c>
      <c r="X67" s="6" t="s">
        <v>938</v>
      </c>
      <c r="Y67" s="7" t="s">
        <v>1416</v>
      </c>
      <c r="Z67" s="6" t="s">
        <v>39</v>
      </c>
    </row>
    <row r="68" customFormat="false" ht="34.5" hidden="false" customHeight="true" outlineLevel="0" collapsed="false">
      <c r="A68" s="6" t="s">
        <v>1417</v>
      </c>
      <c r="B68" s="6" t="s">
        <v>498</v>
      </c>
      <c r="C68" s="6" t="s">
        <v>1418</v>
      </c>
      <c r="D68" s="7" t="s">
        <v>1419</v>
      </c>
      <c r="E68" s="6" t="s">
        <v>943</v>
      </c>
      <c r="F68" s="6" t="s">
        <v>930</v>
      </c>
      <c r="G68" s="6" t="s">
        <v>1420</v>
      </c>
      <c r="H68" s="6" t="s">
        <v>954</v>
      </c>
      <c r="I68" s="6" t="n">
        <v>2000</v>
      </c>
      <c r="J68" s="6" t="s">
        <v>955</v>
      </c>
      <c r="K68" s="6" t="s">
        <v>956</v>
      </c>
      <c r="L68" s="7" t="s">
        <v>1421</v>
      </c>
      <c r="M68" s="6" t="n">
        <v>26</v>
      </c>
      <c r="N68" s="7" t="s">
        <v>1281</v>
      </c>
      <c r="O68" s="7" t="s">
        <v>1422</v>
      </c>
      <c r="P68" s="6" t="s">
        <v>397</v>
      </c>
      <c r="Q68" s="7" t="s">
        <v>397</v>
      </c>
      <c r="R68" s="6" t="s">
        <v>396</v>
      </c>
      <c r="S68" s="6" t="s">
        <v>936</v>
      </c>
      <c r="T68" s="6"/>
      <c r="U68" s="6"/>
      <c r="V68" s="6" t="s">
        <v>1423</v>
      </c>
      <c r="W68" s="6" t="s">
        <v>55</v>
      </c>
      <c r="X68" s="6" t="s">
        <v>938</v>
      </c>
      <c r="Y68" s="7" t="s">
        <v>1424</v>
      </c>
      <c r="Z68" s="6" t="s">
        <v>875</v>
      </c>
    </row>
    <row r="69" customFormat="false" ht="45.75" hidden="false" customHeight="true" outlineLevel="0" collapsed="false">
      <c r="A69" s="6" t="s">
        <v>1425</v>
      </c>
      <c r="B69" s="6" t="s">
        <v>505</v>
      </c>
      <c r="C69" s="6" t="s">
        <v>1426</v>
      </c>
      <c r="D69" s="7" t="s">
        <v>1427</v>
      </c>
      <c r="E69" s="6" t="s">
        <v>943</v>
      </c>
      <c r="F69" s="6" t="s">
        <v>1270</v>
      </c>
      <c r="G69" s="6" t="s">
        <v>945</v>
      </c>
      <c r="H69" s="6" t="s">
        <v>954</v>
      </c>
      <c r="I69" s="6"/>
      <c r="J69" s="6" t="s">
        <v>955</v>
      </c>
      <c r="K69" s="6"/>
      <c r="L69" s="7" t="s">
        <v>1428</v>
      </c>
      <c r="M69" s="6"/>
      <c r="N69" s="7" t="s">
        <v>37</v>
      </c>
      <c r="O69" s="7" t="s">
        <v>1422</v>
      </c>
      <c r="P69" s="6" t="s">
        <v>397</v>
      </c>
      <c r="Q69" s="7" t="s">
        <v>397</v>
      </c>
      <c r="R69" s="6" t="s">
        <v>396</v>
      </c>
      <c r="S69" s="6" t="s">
        <v>936</v>
      </c>
      <c r="T69" s="6"/>
      <c r="U69" s="6" t="s">
        <v>509</v>
      </c>
      <c r="V69" s="6" t="s">
        <v>509</v>
      </c>
      <c r="W69" s="6" t="s">
        <v>65</v>
      </c>
      <c r="X69" s="6" t="s">
        <v>1429</v>
      </c>
      <c r="Y69" s="7" t="s">
        <v>1430</v>
      </c>
      <c r="Z69" s="6" t="s">
        <v>875</v>
      </c>
    </row>
    <row r="70" customFormat="false" ht="45.75" hidden="false" customHeight="true" outlineLevel="0" collapsed="false">
      <c r="A70" s="6" t="s">
        <v>1431</v>
      </c>
      <c r="B70" s="6" t="s">
        <v>511</v>
      </c>
      <c r="C70" s="6" t="s">
        <v>1432</v>
      </c>
      <c r="D70" s="7" t="s">
        <v>1433</v>
      </c>
      <c r="E70" s="6" t="s">
        <v>929</v>
      </c>
      <c r="F70" s="6" t="s">
        <v>944</v>
      </c>
      <c r="G70" s="6" t="s">
        <v>1434</v>
      </c>
      <c r="H70" s="6" t="s">
        <v>967</v>
      </c>
      <c r="I70" s="6" t="n">
        <v>2000</v>
      </c>
      <c r="J70" s="6" t="s">
        <v>989</v>
      </c>
      <c r="K70" s="6" t="s">
        <v>990</v>
      </c>
      <c r="L70" s="7" t="s">
        <v>1435</v>
      </c>
      <c r="M70" s="6" t="n">
        <v>26</v>
      </c>
      <c r="N70" s="7" t="s">
        <v>992</v>
      </c>
      <c r="O70" s="7" t="s">
        <v>1436</v>
      </c>
      <c r="P70" s="6" t="s">
        <v>520</v>
      </c>
      <c r="Q70" s="7" t="s">
        <v>514</v>
      </c>
      <c r="R70" s="6" t="s">
        <v>513</v>
      </c>
      <c r="S70" s="6" t="s">
        <v>960</v>
      </c>
      <c r="T70" s="6" t="s">
        <v>1437</v>
      </c>
      <c r="U70" s="6" t="s">
        <v>85</v>
      </c>
      <c r="V70" s="6" t="s">
        <v>85</v>
      </c>
      <c r="W70" s="6" t="s">
        <v>65</v>
      </c>
      <c r="X70" s="6" t="s">
        <v>994</v>
      </c>
      <c r="Y70" s="7"/>
      <c r="Z70" s="6" t="s">
        <v>39</v>
      </c>
    </row>
    <row r="71" customFormat="false" ht="34.5" hidden="false" customHeight="true" outlineLevel="0" collapsed="false">
      <c r="A71" s="6" t="s">
        <v>1438</v>
      </c>
      <c r="B71" s="6" t="s">
        <v>511</v>
      </c>
      <c r="C71" s="6" t="s">
        <v>1439</v>
      </c>
      <c r="D71" s="7" t="s">
        <v>1440</v>
      </c>
      <c r="E71" s="6" t="s">
        <v>929</v>
      </c>
      <c r="F71" s="6" t="s">
        <v>944</v>
      </c>
      <c r="G71" s="6" t="s">
        <v>1441</v>
      </c>
      <c r="H71" s="6" t="s">
        <v>967</v>
      </c>
      <c r="I71" s="6"/>
      <c r="J71" s="6"/>
      <c r="K71" s="6"/>
      <c r="L71" s="7" t="s">
        <v>1442</v>
      </c>
      <c r="M71" s="6" t="n">
        <v>26</v>
      </c>
      <c r="N71" s="7" t="s">
        <v>1443</v>
      </c>
      <c r="O71" s="7" t="s">
        <v>1444</v>
      </c>
      <c r="P71" s="6" t="s">
        <v>520</v>
      </c>
      <c r="Q71" s="7" t="s">
        <v>514</v>
      </c>
      <c r="R71" s="6" t="s">
        <v>513</v>
      </c>
      <c r="S71" s="6" t="s">
        <v>960</v>
      </c>
      <c r="T71" s="6" t="s">
        <v>1445</v>
      </c>
      <c r="U71" s="6" t="s">
        <v>1446</v>
      </c>
      <c r="V71" s="6" t="s">
        <v>1446</v>
      </c>
      <c r="W71" s="6" t="s">
        <v>65</v>
      </c>
      <c r="X71" s="6" t="s">
        <v>994</v>
      </c>
      <c r="Y71" s="7"/>
      <c r="Z71" s="6" t="s">
        <v>39</v>
      </c>
    </row>
    <row r="72" customFormat="false" ht="34.5" hidden="false" customHeight="true" outlineLevel="0" collapsed="false">
      <c r="A72" s="6" t="s">
        <v>1447</v>
      </c>
      <c r="B72" s="6" t="s">
        <v>511</v>
      </c>
      <c r="C72" s="6" t="s">
        <v>1448</v>
      </c>
      <c r="D72" s="7" t="s">
        <v>1449</v>
      </c>
      <c r="E72" s="6" t="s">
        <v>929</v>
      </c>
      <c r="F72" s="6" t="s">
        <v>944</v>
      </c>
      <c r="G72" s="6" t="s">
        <v>1450</v>
      </c>
      <c r="H72" s="6" t="s">
        <v>967</v>
      </c>
      <c r="I72" s="6"/>
      <c r="J72" s="6"/>
      <c r="K72" s="6"/>
      <c r="L72" s="7" t="s">
        <v>1451</v>
      </c>
      <c r="M72" s="6"/>
      <c r="N72" s="7" t="s">
        <v>37</v>
      </c>
      <c r="O72" s="7" t="s">
        <v>1452</v>
      </c>
      <c r="P72" s="6" t="s">
        <v>520</v>
      </c>
      <c r="Q72" s="7" t="s">
        <v>514</v>
      </c>
      <c r="R72" s="6" t="s">
        <v>513</v>
      </c>
      <c r="S72" s="6" t="s">
        <v>960</v>
      </c>
      <c r="T72" s="6"/>
      <c r="U72" s="6" t="s">
        <v>1453</v>
      </c>
      <c r="V72" s="6" t="s">
        <v>1453</v>
      </c>
      <c r="W72" s="6" t="s">
        <v>65</v>
      </c>
      <c r="X72" s="6" t="s">
        <v>938</v>
      </c>
      <c r="Y72" s="7" t="s">
        <v>1454</v>
      </c>
      <c r="Z72" s="6" t="s">
        <v>39</v>
      </c>
    </row>
    <row r="73" customFormat="false" ht="45.75" hidden="false" customHeight="true" outlineLevel="0" collapsed="false">
      <c r="A73" s="6" t="s">
        <v>1455</v>
      </c>
      <c r="B73" s="6" t="s">
        <v>518</v>
      </c>
      <c r="C73" s="6" t="s">
        <v>1456</v>
      </c>
      <c r="D73" s="7" t="s">
        <v>1457</v>
      </c>
      <c r="E73" s="6" t="s">
        <v>1013</v>
      </c>
      <c r="F73" s="6" t="s">
        <v>944</v>
      </c>
      <c r="G73" s="6" t="s">
        <v>1458</v>
      </c>
      <c r="H73" s="6" t="s">
        <v>967</v>
      </c>
      <c r="I73" s="6"/>
      <c r="J73" s="6"/>
      <c r="K73" s="6"/>
      <c r="L73" s="7" t="s">
        <v>1459</v>
      </c>
      <c r="M73" s="6" t="n">
        <v>13</v>
      </c>
      <c r="N73" s="7" t="s">
        <v>1460</v>
      </c>
      <c r="O73" s="7" t="s">
        <v>1461</v>
      </c>
      <c r="P73" s="6" t="s">
        <v>520</v>
      </c>
      <c r="Q73" s="7" t="s">
        <v>520</v>
      </c>
      <c r="R73" s="6" t="s">
        <v>513</v>
      </c>
      <c r="S73" s="6" t="s">
        <v>1047</v>
      </c>
      <c r="T73" s="6"/>
      <c r="U73" s="6" t="s">
        <v>523</v>
      </c>
      <c r="V73" s="6" t="s">
        <v>523</v>
      </c>
      <c r="W73" s="6" t="s">
        <v>65</v>
      </c>
      <c r="X73" s="6" t="s">
        <v>994</v>
      </c>
      <c r="Y73" s="7"/>
      <c r="Z73" s="6" t="s">
        <v>39</v>
      </c>
    </row>
    <row r="74" customFormat="false" ht="57" hidden="false" customHeight="true" outlineLevel="0" collapsed="false">
      <c r="A74" s="6" t="s">
        <v>1462</v>
      </c>
      <c r="B74" s="6" t="s">
        <v>526</v>
      </c>
      <c r="C74" s="6" t="s">
        <v>1463</v>
      </c>
      <c r="D74" s="7" t="s">
        <v>1464</v>
      </c>
      <c r="E74" s="6" t="s">
        <v>929</v>
      </c>
      <c r="F74" s="6" t="s">
        <v>944</v>
      </c>
      <c r="G74" s="6" t="s">
        <v>1465</v>
      </c>
      <c r="H74" s="6" t="s">
        <v>967</v>
      </c>
      <c r="I74" s="6"/>
      <c r="J74" s="6"/>
      <c r="K74" s="6"/>
      <c r="L74" s="7" t="s">
        <v>1466</v>
      </c>
      <c r="M74" s="6" t="n">
        <v>13</v>
      </c>
      <c r="N74" s="7" t="s">
        <v>1467</v>
      </c>
      <c r="O74" s="7" t="s">
        <v>1468</v>
      </c>
      <c r="P74" s="6" t="s">
        <v>528</v>
      </c>
      <c r="Q74" s="7" t="s">
        <v>528</v>
      </c>
      <c r="R74" s="6" t="s">
        <v>432</v>
      </c>
      <c r="S74" s="6" t="s">
        <v>960</v>
      </c>
      <c r="T74" s="6" t="s">
        <v>1469</v>
      </c>
      <c r="U74" s="6" t="s">
        <v>531</v>
      </c>
      <c r="V74" s="6" t="s">
        <v>531</v>
      </c>
      <c r="W74" s="6" t="s">
        <v>65</v>
      </c>
      <c r="X74" s="6" t="s">
        <v>994</v>
      </c>
      <c r="Y74" s="7"/>
      <c r="Z74" s="6" t="s">
        <v>39</v>
      </c>
    </row>
    <row r="75" customFormat="false" ht="45.75" hidden="false" customHeight="true" outlineLevel="0" collapsed="false">
      <c r="A75" s="6" t="s">
        <v>1470</v>
      </c>
      <c r="B75" s="6" t="s">
        <v>534</v>
      </c>
      <c r="C75" s="6" t="s">
        <v>1471</v>
      </c>
      <c r="D75" s="7" t="s">
        <v>1472</v>
      </c>
      <c r="E75" s="6" t="s">
        <v>1013</v>
      </c>
      <c r="F75" s="6" t="s">
        <v>944</v>
      </c>
      <c r="G75" s="6" t="s">
        <v>1473</v>
      </c>
      <c r="H75" s="6" t="s">
        <v>967</v>
      </c>
      <c r="I75" s="6"/>
      <c r="J75" s="6"/>
      <c r="K75" s="6"/>
      <c r="L75" s="7" t="s">
        <v>1474</v>
      </c>
      <c r="M75" s="6" t="n">
        <v>13</v>
      </c>
      <c r="N75" s="7" t="s">
        <v>1475</v>
      </c>
      <c r="O75" s="7" t="s">
        <v>1476</v>
      </c>
      <c r="P75" s="6" t="s">
        <v>536</v>
      </c>
      <c r="Q75" s="7" t="s">
        <v>536</v>
      </c>
      <c r="R75" s="6" t="s">
        <v>467</v>
      </c>
      <c r="S75" s="6" t="s">
        <v>960</v>
      </c>
      <c r="T75" s="6"/>
      <c r="U75" s="6" t="s">
        <v>539</v>
      </c>
      <c r="V75" s="6" t="s">
        <v>539</v>
      </c>
      <c r="W75" s="6" t="s">
        <v>65</v>
      </c>
      <c r="X75" s="6" t="s">
        <v>994</v>
      </c>
      <c r="Y75" s="7"/>
      <c r="Z75" s="6" t="s">
        <v>39</v>
      </c>
    </row>
    <row r="76" customFormat="false" ht="45.75" hidden="false" customHeight="true" outlineLevel="0" collapsed="false">
      <c r="A76" s="6" t="s">
        <v>1477</v>
      </c>
      <c r="B76" s="6" t="s">
        <v>534</v>
      </c>
      <c r="C76" s="6" t="s">
        <v>1478</v>
      </c>
      <c r="D76" s="7" t="s">
        <v>1479</v>
      </c>
      <c r="E76" s="6" t="s">
        <v>1013</v>
      </c>
      <c r="F76" s="6" t="s">
        <v>944</v>
      </c>
      <c r="G76" s="6" t="s">
        <v>1480</v>
      </c>
      <c r="H76" s="6" t="s">
        <v>967</v>
      </c>
      <c r="I76" s="6"/>
      <c r="J76" s="6"/>
      <c r="K76" s="6"/>
      <c r="L76" s="7" t="s">
        <v>1481</v>
      </c>
      <c r="M76" s="6" t="n">
        <v>4</v>
      </c>
      <c r="N76" s="7" t="s">
        <v>1214</v>
      </c>
      <c r="O76" s="7" t="s">
        <v>1476</v>
      </c>
      <c r="P76" s="6" t="s">
        <v>536</v>
      </c>
      <c r="Q76" s="7" t="s">
        <v>536</v>
      </c>
      <c r="R76" s="6" t="s">
        <v>467</v>
      </c>
      <c r="S76" s="6" t="s">
        <v>960</v>
      </c>
      <c r="T76" s="6" t="s">
        <v>1482</v>
      </c>
      <c r="U76" s="6" t="s">
        <v>1483</v>
      </c>
      <c r="V76" s="6" t="s">
        <v>1483</v>
      </c>
      <c r="W76" s="6" t="s">
        <v>65</v>
      </c>
      <c r="X76" s="6" t="s">
        <v>994</v>
      </c>
      <c r="Y76" s="7"/>
      <c r="Z76" s="6" t="s">
        <v>39</v>
      </c>
    </row>
    <row r="77" customFormat="false" ht="34.5" hidden="false" customHeight="true" outlineLevel="0" collapsed="false">
      <c r="A77" s="6" t="s">
        <v>1484</v>
      </c>
      <c r="B77" s="6" t="s">
        <v>542</v>
      </c>
      <c r="C77" s="6" t="s">
        <v>1485</v>
      </c>
      <c r="D77" s="7" t="s">
        <v>1486</v>
      </c>
      <c r="E77" s="6" t="s">
        <v>943</v>
      </c>
      <c r="F77" s="6" t="s">
        <v>1270</v>
      </c>
      <c r="G77" s="6" t="s">
        <v>1487</v>
      </c>
      <c r="H77" s="6" t="s">
        <v>954</v>
      </c>
      <c r="I77" s="6" t="n">
        <v>540</v>
      </c>
      <c r="J77" s="6" t="s">
        <v>989</v>
      </c>
      <c r="K77" s="6" t="s">
        <v>956</v>
      </c>
      <c r="L77" s="7" t="s">
        <v>1488</v>
      </c>
      <c r="M77" s="6" t="n">
        <v>26</v>
      </c>
      <c r="N77" s="7" t="s">
        <v>1281</v>
      </c>
      <c r="O77" s="7" t="s">
        <v>1489</v>
      </c>
      <c r="P77" s="6" t="s">
        <v>545</v>
      </c>
      <c r="Q77" s="7" t="s">
        <v>545</v>
      </c>
      <c r="R77" s="6" t="s">
        <v>544</v>
      </c>
      <c r="S77" s="6" t="s">
        <v>936</v>
      </c>
      <c r="T77" s="6"/>
      <c r="U77" s="6" t="s">
        <v>548</v>
      </c>
      <c r="V77" s="6" t="s">
        <v>548</v>
      </c>
      <c r="W77" s="6" t="s">
        <v>65</v>
      </c>
      <c r="X77" s="6" t="s">
        <v>994</v>
      </c>
      <c r="Y77" s="7"/>
      <c r="Z77" s="6" t="s">
        <v>39</v>
      </c>
    </row>
    <row r="78" customFormat="false" ht="45.75" hidden="false" customHeight="true" outlineLevel="0" collapsed="false">
      <c r="A78" s="6" t="s">
        <v>1490</v>
      </c>
      <c r="B78" s="6" t="s">
        <v>552</v>
      </c>
      <c r="C78" s="6" t="s">
        <v>1491</v>
      </c>
      <c r="D78" s="7" t="s">
        <v>1492</v>
      </c>
      <c r="E78" s="6" t="s">
        <v>943</v>
      </c>
      <c r="F78" s="6" t="s">
        <v>930</v>
      </c>
      <c r="G78" s="6" t="s">
        <v>1493</v>
      </c>
      <c r="H78" s="6"/>
      <c r="I78" s="6"/>
      <c r="J78" s="6"/>
      <c r="K78" s="6"/>
      <c r="L78" s="7" t="s">
        <v>1494</v>
      </c>
      <c r="M78" s="6" t="n">
        <v>26</v>
      </c>
      <c r="N78" s="7" t="s">
        <v>1298</v>
      </c>
      <c r="O78" s="7" t="s">
        <v>1495</v>
      </c>
      <c r="P78" s="6" t="s">
        <v>545</v>
      </c>
      <c r="Q78" s="7" t="s">
        <v>545</v>
      </c>
      <c r="R78" s="6" t="s">
        <v>544</v>
      </c>
      <c r="S78" s="6" t="s">
        <v>936</v>
      </c>
      <c r="T78" s="6"/>
      <c r="U78" s="6"/>
      <c r="V78" s="6" t="s">
        <v>1496</v>
      </c>
      <c r="W78" s="6" t="s">
        <v>55</v>
      </c>
      <c r="X78" s="6" t="s">
        <v>938</v>
      </c>
      <c r="Y78" s="7" t="s">
        <v>1497</v>
      </c>
      <c r="Z78" s="6" t="s">
        <v>39</v>
      </c>
    </row>
    <row r="79" customFormat="false" ht="45.75" hidden="false" customHeight="true" outlineLevel="0" collapsed="false">
      <c r="A79" s="6" t="s">
        <v>1498</v>
      </c>
      <c r="B79" s="6" t="s">
        <v>556</v>
      </c>
      <c r="C79" s="6" t="s">
        <v>1499</v>
      </c>
      <c r="D79" s="7" t="s">
        <v>1500</v>
      </c>
      <c r="E79" s="6" t="s">
        <v>1006</v>
      </c>
      <c r="F79" s="6" t="s">
        <v>930</v>
      </c>
      <c r="G79" s="6" t="s">
        <v>1501</v>
      </c>
      <c r="H79" s="6" t="s">
        <v>954</v>
      </c>
      <c r="I79" s="6" t="n">
        <v>2120</v>
      </c>
      <c r="J79" s="6" t="s">
        <v>989</v>
      </c>
      <c r="K79" s="6" t="s">
        <v>956</v>
      </c>
      <c r="L79" s="7" t="s">
        <v>1502</v>
      </c>
      <c r="M79" s="6" t="n">
        <v>13</v>
      </c>
      <c r="N79" s="7" t="s">
        <v>1503</v>
      </c>
      <c r="O79" s="7" t="s">
        <v>1504</v>
      </c>
      <c r="P79" s="6"/>
      <c r="Q79" s="7" t="s">
        <v>558</v>
      </c>
      <c r="R79" s="6" t="s">
        <v>513</v>
      </c>
      <c r="S79" s="6" t="s">
        <v>960</v>
      </c>
      <c r="T79" s="6"/>
      <c r="U79" s="6" t="s">
        <v>560</v>
      </c>
      <c r="V79" s="6" t="s">
        <v>560</v>
      </c>
      <c r="W79" s="6" t="s">
        <v>65</v>
      </c>
      <c r="X79" s="6" t="s">
        <v>938</v>
      </c>
      <c r="Y79" s="7" t="s">
        <v>1505</v>
      </c>
      <c r="Z79" s="6" t="s">
        <v>39</v>
      </c>
    </row>
    <row r="80" customFormat="false" ht="34.5" hidden="false" customHeight="true" outlineLevel="0" collapsed="false">
      <c r="A80" s="6" t="s">
        <v>1506</v>
      </c>
      <c r="B80" s="6" t="s">
        <v>562</v>
      </c>
      <c r="C80" s="6" t="s">
        <v>1507</v>
      </c>
      <c r="D80" s="7" t="s">
        <v>1508</v>
      </c>
      <c r="E80" s="6" t="s">
        <v>1006</v>
      </c>
      <c r="F80" s="6" t="s">
        <v>1270</v>
      </c>
      <c r="G80" s="6" t="s">
        <v>1509</v>
      </c>
      <c r="H80" s="6" t="s">
        <v>954</v>
      </c>
      <c r="I80" s="6" t="n">
        <v>1889</v>
      </c>
      <c r="J80" s="6" t="s">
        <v>989</v>
      </c>
      <c r="K80" s="6" t="s">
        <v>956</v>
      </c>
      <c r="L80" s="7" t="s">
        <v>1969</v>
      </c>
      <c r="M80" s="6" t="n">
        <v>22</v>
      </c>
      <c r="N80" s="7" t="s">
        <v>1511</v>
      </c>
      <c r="O80" s="7" t="s">
        <v>1512</v>
      </c>
      <c r="P80" s="6" t="s">
        <v>898</v>
      </c>
      <c r="Q80" s="7" t="s">
        <v>565</v>
      </c>
      <c r="R80" s="6" t="s">
        <v>564</v>
      </c>
      <c r="S80" s="6" t="s">
        <v>960</v>
      </c>
      <c r="T80" s="6" t="s">
        <v>1513</v>
      </c>
      <c r="U80" s="6" t="s">
        <v>1968</v>
      </c>
      <c r="V80" s="6" t="s">
        <v>1967</v>
      </c>
      <c r="W80" s="6" t="s">
        <v>65</v>
      </c>
      <c r="X80" s="6" t="s">
        <v>994</v>
      </c>
      <c r="Y80" s="7"/>
      <c r="Z80" s="6" t="s">
        <v>1966</v>
      </c>
    </row>
    <row r="81" customFormat="false" ht="34.5" hidden="false" customHeight="true" outlineLevel="0" collapsed="false">
      <c r="A81" s="6" t="s">
        <v>1515</v>
      </c>
      <c r="B81" s="6" t="s">
        <v>570</v>
      </c>
      <c r="C81" s="6" t="s">
        <v>1516</v>
      </c>
      <c r="D81" s="7" t="s">
        <v>1517</v>
      </c>
      <c r="E81" s="6" t="s">
        <v>943</v>
      </c>
      <c r="F81" s="6" t="s">
        <v>930</v>
      </c>
      <c r="G81" s="6" t="s">
        <v>945</v>
      </c>
      <c r="H81" s="6" t="s">
        <v>954</v>
      </c>
      <c r="I81" s="6"/>
      <c r="J81" s="6" t="s">
        <v>989</v>
      </c>
      <c r="K81" s="6" t="s">
        <v>956</v>
      </c>
      <c r="L81" s="7" t="s">
        <v>1518</v>
      </c>
      <c r="M81" s="6" t="n">
        <v>26</v>
      </c>
      <c r="N81" s="7" t="s">
        <v>1338</v>
      </c>
      <c r="O81" s="7" t="s">
        <v>1519</v>
      </c>
      <c r="P81" s="6" t="s">
        <v>433</v>
      </c>
      <c r="Q81" s="7" t="s">
        <v>433</v>
      </c>
      <c r="R81" s="6" t="s">
        <v>432</v>
      </c>
      <c r="S81" s="6" t="s">
        <v>936</v>
      </c>
      <c r="T81" s="6"/>
      <c r="U81" s="6" t="s">
        <v>574</v>
      </c>
      <c r="V81" s="6" t="s">
        <v>574</v>
      </c>
      <c r="W81" s="6" t="s">
        <v>65</v>
      </c>
      <c r="X81" s="6" t="s">
        <v>938</v>
      </c>
      <c r="Y81" s="7" t="s">
        <v>1520</v>
      </c>
      <c r="Z81" s="6" t="s">
        <v>39</v>
      </c>
    </row>
    <row r="82" customFormat="false" ht="57" hidden="false" customHeight="true" outlineLevel="0" collapsed="false">
      <c r="A82" s="6" t="s">
        <v>1521</v>
      </c>
      <c r="B82" s="6" t="s">
        <v>577</v>
      </c>
      <c r="C82" s="6" t="s">
        <v>1522</v>
      </c>
      <c r="D82" s="7" t="s">
        <v>1523</v>
      </c>
      <c r="E82" s="6" t="s">
        <v>943</v>
      </c>
      <c r="F82" s="6" t="s">
        <v>944</v>
      </c>
      <c r="G82" s="6" t="s">
        <v>945</v>
      </c>
      <c r="H82" s="6" t="s">
        <v>954</v>
      </c>
      <c r="I82" s="6"/>
      <c r="J82" s="6"/>
      <c r="K82" s="6" t="s">
        <v>956</v>
      </c>
      <c r="L82" s="7" t="s">
        <v>1524</v>
      </c>
      <c r="M82" s="6" t="n">
        <v>26</v>
      </c>
      <c r="N82" s="7" t="s">
        <v>1525</v>
      </c>
      <c r="O82" s="7" t="s">
        <v>1422</v>
      </c>
      <c r="P82" s="6" t="s">
        <v>579</v>
      </c>
      <c r="Q82" s="7" t="s">
        <v>579</v>
      </c>
      <c r="R82" s="6" t="s">
        <v>396</v>
      </c>
      <c r="S82" s="6" t="s">
        <v>936</v>
      </c>
      <c r="T82" s="6"/>
      <c r="U82" s="6" t="s">
        <v>582</v>
      </c>
      <c r="V82" s="6" t="s">
        <v>582</v>
      </c>
      <c r="W82" s="6" t="s">
        <v>65</v>
      </c>
      <c r="X82" s="6" t="s">
        <v>1429</v>
      </c>
      <c r="Y82" s="7" t="s">
        <v>1526</v>
      </c>
      <c r="Z82" s="6" t="s">
        <v>39</v>
      </c>
    </row>
    <row r="83" customFormat="false" ht="45.75" hidden="false" customHeight="true" outlineLevel="0" collapsed="false">
      <c r="A83" s="6" t="s">
        <v>1527</v>
      </c>
      <c r="B83" s="6" t="s">
        <v>458</v>
      </c>
      <c r="C83" s="6" t="s">
        <v>1528</v>
      </c>
      <c r="D83" s="7" t="s">
        <v>1529</v>
      </c>
      <c r="E83" s="6" t="s">
        <v>943</v>
      </c>
      <c r="F83" s="6" t="s">
        <v>944</v>
      </c>
      <c r="G83" s="6" t="s">
        <v>1342</v>
      </c>
      <c r="H83" s="6" t="s">
        <v>954</v>
      </c>
      <c r="I83" s="6" t="n">
        <v>94</v>
      </c>
      <c r="J83" s="6" t="s">
        <v>955</v>
      </c>
      <c r="K83" s="6" t="s">
        <v>1296</v>
      </c>
      <c r="L83" s="7" t="s">
        <v>1971</v>
      </c>
      <c r="M83" s="6" t="n">
        <v>13</v>
      </c>
      <c r="N83" s="7" t="s">
        <v>1531</v>
      </c>
      <c r="O83" s="7" t="s">
        <v>1532</v>
      </c>
      <c r="P83" s="6" t="s">
        <v>397</v>
      </c>
      <c r="Q83" s="7" t="s">
        <v>397</v>
      </c>
      <c r="R83" s="6" t="s">
        <v>396</v>
      </c>
      <c r="S83" s="6" t="s">
        <v>960</v>
      </c>
      <c r="T83" s="6" t="s">
        <v>1533</v>
      </c>
      <c r="U83" s="6" t="s">
        <v>1970</v>
      </c>
      <c r="V83" s="6" t="s">
        <v>1970</v>
      </c>
      <c r="W83" s="6" t="s">
        <v>65</v>
      </c>
      <c r="X83" s="6" t="s">
        <v>994</v>
      </c>
      <c r="Y83" s="7"/>
      <c r="Z83" s="6" t="s">
        <v>1966</v>
      </c>
    </row>
    <row r="84" customFormat="false" ht="34.5" hidden="false" customHeight="true" outlineLevel="0" collapsed="false">
      <c r="A84" s="6" t="s">
        <v>1534</v>
      </c>
      <c r="B84" s="6" t="s">
        <v>562</v>
      </c>
      <c r="C84" s="6" t="s">
        <v>1535</v>
      </c>
      <c r="D84" s="7" t="s">
        <v>1536</v>
      </c>
      <c r="E84" s="6" t="s">
        <v>1006</v>
      </c>
      <c r="F84" s="6" t="s">
        <v>930</v>
      </c>
      <c r="G84" s="6" t="s">
        <v>1509</v>
      </c>
      <c r="H84" s="6" t="s">
        <v>954</v>
      </c>
      <c r="I84" s="6" t="n">
        <v>1856</v>
      </c>
      <c r="J84" s="6" t="s">
        <v>989</v>
      </c>
      <c r="K84" s="6" t="s">
        <v>956</v>
      </c>
      <c r="L84" s="7" t="s">
        <v>1972</v>
      </c>
      <c r="M84" s="6" t="n">
        <v>22</v>
      </c>
      <c r="N84" s="7" t="s">
        <v>1538</v>
      </c>
      <c r="O84" s="7" t="s">
        <v>1539</v>
      </c>
      <c r="P84" s="6" t="s">
        <v>898</v>
      </c>
      <c r="Q84" s="7" t="s">
        <v>565</v>
      </c>
      <c r="R84" s="6" t="s">
        <v>564</v>
      </c>
      <c r="S84" s="6" t="s">
        <v>936</v>
      </c>
      <c r="T84" s="6"/>
      <c r="U84" s="6" t="s">
        <v>1968</v>
      </c>
      <c r="V84" s="6" t="s">
        <v>1968</v>
      </c>
      <c r="W84" s="6" t="s">
        <v>65</v>
      </c>
      <c r="X84" s="6" t="s">
        <v>994</v>
      </c>
      <c r="Y84" s="7"/>
      <c r="Z84" s="6" t="s">
        <v>1966</v>
      </c>
    </row>
    <row r="85" customFormat="false" ht="45.75" hidden="false" customHeight="true" outlineLevel="0" collapsed="false">
      <c r="A85" s="6" t="s">
        <v>1540</v>
      </c>
      <c r="B85" s="6" t="s">
        <v>408</v>
      </c>
      <c r="C85" s="6" t="s">
        <v>1541</v>
      </c>
      <c r="D85" s="7" t="s">
        <v>1542</v>
      </c>
      <c r="E85" s="6" t="s">
        <v>929</v>
      </c>
      <c r="F85" s="6" t="s">
        <v>930</v>
      </c>
      <c r="G85" s="6" t="s">
        <v>1543</v>
      </c>
      <c r="H85" s="6" t="s">
        <v>954</v>
      </c>
      <c r="I85" s="6"/>
      <c r="J85" s="6" t="s">
        <v>955</v>
      </c>
      <c r="K85" s="6"/>
      <c r="L85" s="7" t="s">
        <v>1544</v>
      </c>
      <c r="M85" s="6"/>
      <c r="N85" s="7" t="s">
        <v>37</v>
      </c>
      <c r="O85" s="7" t="s">
        <v>1545</v>
      </c>
      <c r="P85" s="6" t="s">
        <v>397</v>
      </c>
      <c r="Q85" s="7" t="s">
        <v>397</v>
      </c>
      <c r="R85" s="6" t="s">
        <v>396</v>
      </c>
      <c r="S85" s="6" t="s">
        <v>960</v>
      </c>
      <c r="T85" s="6"/>
      <c r="U85" s="6"/>
      <c r="V85" s="6" t="s">
        <v>1546</v>
      </c>
      <c r="W85" s="6" t="s">
        <v>55</v>
      </c>
      <c r="X85" s="6" t="s">
        <v>938</v>
      </c>
      <c r="Y85" s="7" t="s">
        <v>1547</v>
      </c>
      <c r="Z85" s="6" t="s">
        <v>39</v>
      </c>
    </row>
    <row r="86" customFormat="false" ht="45.75" hidden="false" customHeight="true" outlineLevel="0" collapsed="false">
      <c r="A86" s="6" t="s">
        <v>1548</v>
      </c>
      <c r="B86" s="6" t="s">
        <v>597</v>
      </c>
      <c r="C86" s="6" t="s">
        <v>1549</v>
      </c>
      <c r="D86" s="7" t="s">
        <v>1550</v>
      </c>
      <c r="E86" s="6" t="s">
        <v>943</v>
      </c>
      <c r="F86" s="6" t="s">
        <v>944</v>
      </c>
      <c r="G86" s="6" t="s">
        <v>1551</v>
      </c>
      <c r="H86" s="6"/>
      <c r="I86" s="6"/>
      <c r="J86" s="6"/>
      <c r="K86" s="6"/>
      <c r="L86" s="7" t="s">
        <v>1552</v>
      </c>
      <c r="M86" s="6" t="n">
        <v>26</v>
      </c>
      <c r="N86" s="7" t="s">
        <v>1281</v>
      </c>
      <c r="O86" s="7" t="s">
        <v>1553</v>
      </c>
      <c r="P86" s="6" t="s">
        <v>599</v>
      </c>
      <c r="Q86" s="7" t="s">
        <v>599</v>
      </c>
      <c r="R86" s="6" t="s">
        <v>513</v>
      </c>
      <c r="S86" s="6" t="s">
        <v>936</v>
      </c>
      <c r="T86" s="6"/>
      <c r="U86" s="6"/>
      <c r="V86" s="6" t="s">
        <v>1554</v>
      </c>
      <c r="W86" s="6" t="s">
        <v>55</v>
      </c>
      <c r="X86" s="6" t="s">
        <v>938</v>
      </c>
      <c r="Y86" s="7" t="s">
        <v>1555</v>
      </c>
      <c r="Z86" s="6" t="s">
        <v>39</v>
      </c>
    </row>
    <row r="87" customFormat="false" ht="45.75" hidden="false" customHeight="true" outlineLevel="0" collapsed="false">
      <c r="A87" s="6" t="s">
        <v>1556</v>
      </c>
      <c r="B87" s="6" t="s">
        <v>597</v>
      </c>
      <c r="C87" s="6" t="s">
        <v>1557</v>
      </c>
      <c r="D87" s="7" t="s">
        <v>1558</v>
      </c>
      <c r="E87" s="6" t="s">
        <v>929</v>
      </c>
      <c r="F87" s="6" t="s">
        <v>944</v>
      </c>
      <c r="G87" s="6" t="s">
        <v>1559</v>
      </c>
      <c r="H87" s="6" t="s">
        <v>954</v>
      </c>
      <c r="I87" s="6" t="n">
        <v>4500</v>
      </c>
      <c r="J87" s="6" t="s">
        <v>989</v>
      </c>
      <c r="K87" s="6" t="s">
        <v>956</v>
      </c>
      <c r="L87" s="7" t="s">
        <v>1560</v>
      </c>
      <c r="M87" s="6" t="n">
        <v>52</v>
      </c>
      <c r="N87" s="7" t="s">
        <v>1561</v>
      </c>
      <c r="O87" s="7" t="s">
        <v>1562</v>
      </c>
      <c r="P87" s="6" t="s">
        <v>599</v>
      </c>
      <c r="Q87" s="7" t="s">
        <v>599</v>
      </c>
      <c r="R87" s="6" t="s">
        <v>513</v>
      </c>
      <c r="S87" s="6" t="s">
        <v>960</v>
      </c>
      <c r="T87" s="6"/>
      <c r="U87" s="6"/>
      <c r="V87" s="6" t="s">
        <v>1563</v>
      </c>
      <c r="W87" s="6" t="s">
        <v>55</v>
      </c>
      <c r="X87" s="6" t="s">
        <v>938</v>
      </c>
      <c r="Y87" s="7" t="s">
        <v>1564</v>
      </c>
      <c r="Z87" s="6" t="s">
        <v>39</v>
      </c>
    </row>
    <row r="88" customFormat="false" ht="34.5" hidden="false" customHeight="true" outlineLevel="0" collapsed="false">
      <c r="A88" s="6" t="s">
        <v>1565</v>
      </c>
      <c r="B88" s="6" t="s">
        <v>604</v>
      </c>
      <c r="C88" s="6" t="s">
        <v>1566</v>
      </c>
      <c r="D88" s="7" t="s">
        <v>1567</v>
      </c>
      <c r="E88" s="6" t="s">
        <v>929</v>
      </c>
      <c r="F88" s="6" t="s">
        <v>1270</v>
      </c>
      <c r="G88" s="6" t="s">
        <v>1568</v>
      </c>
      <c r="H88" s="6"/>
      <c r="I88" s="6"/>
      <c r="J88" s="6"/>
      <c r="K88" s="6"/>
      <c r="L88" s="7" t="s">
        <v>1569</v>
      </c>
      <c r="M88" s="6"/>
      <c r="N88" s="7" t="s">
        <v>1570</v>
      </c>
      <c r="O88" s="7" t="s">
        <v>1571</v>
      </c>
      <c r="P88" s="6" t="s">
        <v>599</v>
      </c>
      <c r="Q88" s="7" t="s">
        <v>599</v>
      </c>
      <c r="R88" s="6" t="s">
        <v>513</v>
      </c>
      <c r="S88" s="6" t="s">
        <v>1047</v>
      </c>
      <c r="T88" s="6"/>
      <c r="U88" s="6" t="s">
        <v>608</v>
      </c>
      <c r="V88" s="6" t="s">
        <v>608</v>
      </c>
      <c r="W88" s="6" t="s">
        <v>65</v>
      </c>
      <c r="X88" s="6" t="s">
        <v>938</v>
      </c>
      <c r="Y88" s="7" t="s">
        <v>1572</v>
      </c>
      <c r="Z88" s="6" t="s">
        <v>39</v>
      </c>
    </row>
    <row r="89" customFormat="false" ht="57" hidden="false" customHeight="true" outlineLevel="0" collapsed="false">
      <c r="A89" s="6" t="s">
        <v>1573</v>
      </c>
      <c r="B89" s="6" t="s">
        <v>610</v>
      </c>
      <c r="C89" s="6" t="s">
        <v>1574</v>
      </c>
      <c r="D89" s="7" t="s">
        <v>1575</v>
      </c>
      <c r="E89" s="6" t="s">
        <v>943</v>
      </c>
      <c r="F89" s="6" t="s">
        <v>1270</v>
      </c>
      <c r="G89" s="6" t="s">
        <v>1576</v>
      </c>
      <c r="H89" s="6" t="s">
        <v>954</v>
      </c>
      <c r="I89" s="6"/>
      <c r="J89" s="6"/>
      <c r="K89" s="6" t="s">
        <v>956</v>
      </c>
      <c r="L89" s="7" t="s">
        <v>1577</v>
      </c>
      <c r="M89" s="6" t="n">
        <v>26</v>
      </c>
      <c r="N89" s="7" t="s">
        <v>1578</v>
      </c>
      <c r="O89" s="7" t="s">
        <v>1579</v>
      </c>
      <c r="P89" s="6" t="s">
        <v>613</v>
      </c>
      <c r="Q89" s="7" t="s">
        <v>613</v>
      </c>
      <c r="R89" s="6" t="s">
        <v>612</v>
      </c>
      <c r="S89" s="6" t="s">
        <v>936</v>
      </c>
      <c r="T89" s="6"/>
      <c r="U89" s="6" t="s">
        <v>1973</v>
      </c>
      <c r="V89" s="6" t="s">
        <v>1973</v>
      </c>
      <c r="W89" s="6" t="s">
        <v>65</v>
      </c>
      <c r="X89" s="6" t="s">
        <v>1429</v>
      </c>
      <c r="Y89" s="7" t="s">
        <v>1974</v>
      </c>
      <c r="Z89" s="6" t="s">
        <v>1966</v>
      </c>
    </row>
    <row r="90" customFormat="false" ht="45.75" hidden="false" customHeight="true" outlineLevel="0" collapsed="false">
      <c r="A90" s="6" t="s">
        <v>1581</v>
      </c>
      <c r="B90" s="6" t="s">
        <v>213</v>
      </c>
      <c r="C90" s="6" t="s">
        <v>1582</v>
      </c>
      <c r="D90" s="7" t="s">
        <v>1583</v>
      </c>
      <c r="E90" s="6" t="s">
        <v>943</v>
      </c>
      <c r="F90" s="6" t="s">
        <v>1270</v>
      </c>
      <c r="G90" s="6" t="s">
        <v>945</v>
      </c>
      <c r="H90" s="6" t="s">
        <v>954</v>
      </c>
      <c r="I90" s="6" t="n">
        <v>1000</v>
      </c>
      <c r="J90" s="6" t="s">
        <v>1379</v>
      </c>
      <c r="K90" s="6" t="s">
        <v>956</v>
      </c>
      <c r="L90" s="7" t="s">
        <v>1584</v>
      </c>
      <c r="M90" s="6" t="n">
        <v>26</v>
      </c>
      <c r="N90" s="7" t="s">
        <v>969</v>
      </c>
      <c r="O90" s="7" t="s">
        <v>1585</v>
      </c>
      <c r="P90" s="6" t="s">
        <v>613</v>
      </c>
      <c r="Q90" s="7" t="s">
        <v>613</v>
      </c>
      <c r="R90" s="6" t="s">
        <v>612</v>
      </c>
      <c r="S90" s="6" t="s">
        <v>936</v>
      </c>
      <c r="T90" s="6"/>
      <c r="U90" s="6"/>
      <c r="V90" s="6" t="s">
        <v>1586</v>
      </c>
      <c r="W90" s="6" t="s">
        <v>55</v>
      </c>
      <c r="X90" s="6" t="s">
        <v>1429</v>
      </c>
      <c r="Y90" s="7" t="s">
        <v>1587</v>
      </c>
      <c r="Z90" s="6" t="s">
        <v>39</v>
      </c>
    </row>
    <row r="91" customFormat="false" ht="45.75" hidden="false" customHeight="true" outlineLevel="0" collapsed="false">
      <c r="A91" s="6" t="s">
        <v>1588</v>
      </c>
      <c r="B91" s="6" t="s">
        <v>383</v>
      </c>
      <c r="C91" s="6" t="s">
        <v>1589</v>
      </c>
      <c r="D91" s="7" t="s">
        <v>1590</v>
      </c>
      <c r="E91" s="6" t="s">
        <v>1006</v>
      </c>
      <c r="F91" s="6" t="s">
        <v>944</v>
      </c>
      <c r="G91" s="6" t="s">
        <v>1591</v>
      </c>
      <c r="H91" s="6" t="s">
        <v>954</v>
      </c>
      <c r="I91" s="6"/>
      <c r="J91" s="6" t="s">
        <v>989</v>
      </c>
      <c r="K91" s="6" t="s">
        <v>956</v>
      </c>
      <c r="L91" s="7" t="s">
        <v>1592</v>
      </c>
      <c r="M91" s="6" t="n">
        <v>22</v>
      </c>
      <c r="N91" s="7" t="s">
        <v>1593</v>
      </c>
      <c r="O91" s="7" t="s">
        <v>1594</v>
      </c>
      <c r="P91" s="6"/>
      <c r="Q91" s="7" t="s">
        <v>1595</v>
      </c>
      <c r="R91" s="6" t="s">
        <v>1596</v>
      </c>
      <c r="S91" s="6" t="s">
        <v>960</v>
      </c>
      <c r="T91" s="6"/>
      <c r="U91" s="6"/>
      <c r="V91" s="6" t="s">
        <v>1597</v>
      </c>
      <c r="W91" s="6" t="s">
        <v>55</v>
      </c>
      <c r="X91" s="6" t="s">
        <v>938</v>
      </c>
      <c r="Y91" s="7" t="s">
        <v>1598</v>
      </c>
      <c r="Z91" s="6" t="s">
        <v>39</v>
      </c>
    </row>
    <row r="92" customFormat="false" ht="34.5" hidden="false" customHeight="true" outlineLevel="0" collapsed="false">
      <c r="A92" s="6" t="s">
        <v>1599</v>
      </c>
      <c r="B92" s="6" t="s">
        <v>619</v>
      </c>
      <c r="C92" s="6" t="s">
        <v>1600</v>
      </c>
      <c r="D92" s="7" t="s">
        <v>1601</v>
      </c>
      <c r="E92" s="6" t="s">
        <v>1006</v>
      </c>
      <c r="F92" s="6" t="s">
        <v>944</v>
      </c>
      <c r="G92" s="6" t="s">
        <v>1509</v>
      </c>
      <c r="H92" s="6" t="s">
        <v>954</v>
      </c>
      <c r="I92" s="6" t="n">
        <v>1463</v>
      </c>
      <c r="J92" s="6" t="s">
        <v>989</v>
      </c>
      <c r="K92" s="6" t="s">
        <v>956</v>
      </c>
      <c r="L92" s="7" t="s">
        <v>1602</v>
      </c>
      <c r="M92" s="6" t="n">
        <v>52</v>
      </c>
      <c r="N92" s="7" t="s">
        <v>1603</v>
      </c>
      <c r="O92" s="7" t="s">
        <v>1604</v>
      </c>
      <c r="P92" s="6"/>
      <c r="Q92" s="7" t="s">
        <v>621</v>
      </c>
      <c r="R92" s="6" t="s">
        <v>467</v>
      </c>
      <c r="S92" s="6" t="s">
        <v>960</v>
      </c>
      <c r="T92" s="6"/>
      <c r="U92" s="6" t="s">
        <v>623</v>
      </c>
      <c r="V92" s="6" t="s">
        <v>623</v>
      </c>
      <c r="W92" s="6" t="s">
        <v>65</v>
      </c>
      <c r="X92" s="6" t="s">
        <v>938</v>
      </c>
      <c r="Y92" s="7" t="s">
        <v>1605</v>
      </c>
      <c r="Z92" s="6" t="s">
        <v>39</v>
      </c>
    </row>
    <row r="93" customFormat="false" ht="23.25" hidden="false" customHeight="true" outlineLevel="0" collapsed="false">
      <c r="A93" s="6" t="s">
        <v>1606</v>
      </c>
      <c r="B93" s="6" t="s">
        <v>626</v>
      </c>
      <c r="C93" s="6" t="s">
        <v>1607</v>
      </c>
      <c r="D93" s="7" t="s">
        <v>1608</v>
      </c>
      <c r="E93" s="6" t="s">
        <v>1006</v>
      </c>
      <c r="F93" s="6" t="s">
        <v>944</v>
      </c>
      <c r="G93" s="6" t="s">
        <v>1509</v>
      </c>
      <c r="H93" s="6" t="s">
        <v>954</v>
      </c>
      <c r="I93" s="6"/>
      <c r="J93" s="6" t="s">
        <v>989</v>
      </c>
      <c r="K93" s="6" t="s">
        <v>956</v>
      </c>
      <c r="L93" s="7" t="s">
        <v>1609</v>
      </c>
      <c r="M93" s="6" t="n">
        <v>44</v>
      </c>
      <c r="N93" s="7" t="s">
        <v>1610</v>
      </c>
      <c r="O93" s="7" t="s">
        <v>1611</v>
      </c>
      <c r="P93" s="6"/>
      <c r="Q93" s="7" t="s">
        <v>628</v>
      </c>
      <c r="R93" s="6" t="s">
        <v>544</v>
      </c>
      <c r="S93" s="6" t="s">
        <v>960</v>
      </c>
      <c r="T93" s="6"/>
      <c r="U93" s="6" t="s">
        <v>630</v>
      </c>
      <c r="V93" s="6" t="s">
        <v>630</v>
      </c>
      <c r="W93" s="6" t="s">
        <v>65</v>
      </c>
      <c r="X93" s="6" t="s">
        <v>938</v>
      </c>
      <c r="Y93" s="7" t="s">
        <v>1612</v>
      </c>
      <c r="Z93" s="6" t="s">
        <v>39</v>
      </c>
    </row>
    <row r="94" customFormat="false" ht="34.5" hidden="false" customHeight="true" outlineLevel="0" collapsed="false">
      <c r="A94" s="6" t="s">
        <v>1613</v>
      </c>
      <c r="B94" s="6" t="s">
        <v>631</v>
      </c>
      <c r="C94" s="6" t="s">
        <v>1614</v>
      </c>
      <c r="D94" s="7" t="s">
        <v>1615</v>
      </c>
      <c r="E94" s="6" t="s">
        <v>1006</v>
      </c>
      <c r="F94" s="6" t="s">
        <v>944</v>
      </c>
      <c r="G94" s="6" t="s">
        <v>1616</v>
      </c>
      <c r="H94" s="6" t="s">
        <v>954</v>
      </c>
      <c r="I94" s="6" t="n">
        <v>2205.72</v>
      </c>
      <c r="J94" s="6" t="s">
        <v>989</v>
      </c>
      <c r="K94" s="6" t="s">
        <v>956</v>
      </c>
      <c r="L94" s="7" t="s">
        <v>1617</v>
      </c>
      <c r="M94" s="6" t="n">
        <v>39</v>
      </c>
      <c r="N94" s="7" t="s">
        <v>1618</v>
      </c>
      <c r="O94" s="7" t="s">
        <v>1619</v>
      </c>
      <c r="P94" s="6"/>
      <c r="Q94" s="7" t="s">
        <v>634</v>
      </c>
      <c r="R94" s="6" t="s">
        <v>633</v>
      </c>
      <c r="S94" s="6" t="s">
        <v>960</v>
      </c>
      <c r="T94" s="6"/>
      <c r="U94" s="6" t="s">
        <v>636</v>
      </c>
      <c r="V94" s="6" t="s">
        <v>636</v>
      </c>
      <c r="W94" s="6" t="s">
        <v>65</v>
      </c>
      <c r="X94" s="6" t="s">
        <v>938</v>
      </c>
      <c r="Y94" s="7" t="s">
        <v>1620</v>
      </c>
      <c r="Z94" s="6" t="s">
        <v>39</v>
      </c>
    </row>
    <row r="95" customFormat="false" ht="45.75" hidden="false" customHeight="true" outlineLevel="0" collapsed="false">
      <c r="A95" s="6" t="s">
        <v>1621</v>
      </c>
      <c r="B95" s="6" t="s">
        <v>639</v>
      </c>
      <c r="C95" s="6" t="s">
        <v>1622</v>
      </c>
      <c r="D95" s="7" t="s">
        <v>1623</v>
      </c>
      <c r="E95" s="6" t="s">
        <v>1006</v>
      </c>
      <c r="F95" s="6" t="s">
        <v>930</v>
      </c>
      <c r="G95" s="6" t="s">
        <v>1509</v>
      </c>
      <c r="H95" s="6" t="s">
        <v>954</v>
      </c>
      <c r="I95" s="6"/>
      <c r="J95" s="6" t="s">
        <v>989</v>
      </c>
      <c r="K95" s="6" t="s">
        <v>956</v>
      </c>
      <c r="L95" s="7" t="s">
        <v>1624</v>
      </c>
      <c r="M95" s="6" t="n">
        <v>52</v>
      </c>
      <c r="N95" s="7" t="s">
        <v>1625</v>
      </c>
      <c r="O95" s="7" t="s">
        <v>1626</v>
      </c>
      <c r="P95" s="6"/>
      <c r="Q95" s="7" t="s">
        <v>642</v>
      </c>
      <c r="R95" s="6" t="s">
        <v>641</v>
      </c>
      <c r="S95" s="6" t="s">
        <v>960</v>
      </c>
      <c r="T95" s="6"/>
      <c r="U95" s="6" t="s">
        <v>644</v>
      </c>
      <c r="V95" s="6" t="s">
        <v>644</v>
      </c>
      <c r="W95" s="6" t="s">
        <v>65</v>
      </c>
      <c r="X95" s="6" t="s">
        <v>938</v>
      </c>
      <c r="Y95" s="7" t="s">
        <v>1605</v>
      </c>
      <c r="Z95" s="6" t="s">
        <v>39</v>
      </c>
    </row>
    <row r="96" customFormat="false" ht="34.5" hidden="false" customHeight="true" outlineLevel="0" collapsed="false">
      <c r="A96" s="6" t="s">
        <v>1627</v>
      </c>
      <c r="B96" s="6" t="s">
        <v>114</v>
      </c>
      <c r="C96" s="6" t="s">
        <v>1628</v>
      </c>
      <c r="D96" s="7" t="s">
        <v>1629</v>
      </c>
      <c r="E96" s="6" t="s">
        <v>943</v>
      </c>
      <c r="F96" s="6" t="s">
        <v>944</v>
      </c>
      <c r="G96" s="6" t="s">
        <v>1630</v>
      </c>
      <c r="H96" s="6" t="s">
        <v>954</v>
      </c>
      <c r="I96" s="6" t="n">
        <v>800</v>
      </c>
      <c r="J96" s="6" t="s">
        <v>989</v>
      </c>
      <c r="K96" s="6" t="s">
        <v>956</v>
      </c>
      <c r="L96" s="7" t="s">
        <v>1631</v>
      </c>
      <c r="M96" s="6" t="n">
        <v>26</v>
      </c>
      <c r="N96" s="7" t="s">
        <v>1281</v>
      </c>
      <c r="O96" s="7" t="s">
        <v>1632</v>
      </c>
      <c r="P96" s="6"/>
      <c r="Q96" s="7" t="s">
        <v>1633</v>
      </c>
      <c r="R96" s="6" t="s">
        <v>1634</v>
      </c>
      <c r="S96" s="6" t="s">
        <v>960</v>
      </c>
      <c r="T96" s="6"/>
      <c r="U96" s="6" t="s">
        <v>1635</v>
      </c>
      <c r="V96" s="6" t="s">
        <v>1635</v>
      </c>
      <c r="W96" s="6" t="s">
        <v>65</v>
      </c>
      <c r="X96" s="6" t="s">
        <v>938</v>
      </c>
      <c r="Y96" s="7" t="s">
        <v>1636</v>
      </c>
      <c r="Z96" s="6" t="s">
        <v>39</v>
      </c>
    </row>
    <row r="97" customFormat="false" ht="57" hidden="false" customHeight="true" outlineLevel="0" collapsed="false">
      <c r="A97" s="6" t="s">
        <v>1637</v>
      </c>
      <c r="B97" s="6" t="s">
        <v>653</v>
      </c>
      <c r="C97" s="6" t="s">
        <v>1638</v>
      </c>
      <c r="D97" s="7" t="s">
        <v>1639</v>
      </c>
      <c r="E97" s="6" t="s">
        <v>1006</v>
      </c>
      <c r="F97" s="6" t="s">
        <v>930</v>
      </c>
      <c r="G97" s="6" t="s">
        <v>1509</v>
      </c>
      <c r="H97" s="6" t="s">
        <v>954</v>
      </c>
      <c r="I97" s="6" t="n">
        <v>1300</v>
      </c>
      <c r="J97" s="6" t="s">
        <v>989</v>
      </c>
      <c r="K97" s="6" t="s">
        <v>956</v>
      </c>
      <c r="L97" s="7" t="s">
        <v>1640</v>
      </c>
      <c r="M97" s="6" t="n">
        <v>52</v>
      </c>
      <c r="N97" s="7" t="s">
        <v>1641</v>
      </c>
      <c r="O97" s="7" t="s">
        <v>1642</v>
      </c>
      <c r="P97" s="6" t="s">
        <v>655</v>
      </c>
      <c r="Q97" s="7" t="s">
        <v>655</v>
      </c>
      <c r="R97" s="6" t="s">
        <v>467</v>
      </c>
      <c r="S97" s="6" t="s">
        <v>960</v>
      </c>
      <c r="T97" s="6"/>
      <c r="U97" s="6" t="s">
        <v>657</v>
      </c>
      <c r="V97" s="6" t="s">
        <v>657</v>
      </c>
      <c r="W97" s="6" t="s">
        <v>65</v>
      </c>
      <c r="X97" s="6" t="s">
        <v>938</v>
      </c>
      <c r="Y97" s="7" t="s">
        <v>1605</v>
      </c>
      <c r="Z97" s="6" t="s">
        <v>39</v>
      </c>
    </row>
    <row r="98" customFormat="false" ht="45.75" hidden="false" customHeight="true" outlineLevel="0" collapsed="false">
      <c r="A98" s="6" t="s">
        <v>1643</v>
      </c>
      <c r="B98" s="6" t="s">
        <v>660</v>
      </c>
      <c r="C98" s="6" t="s">
        <v>1644</v>
      </c>
      <c r="D98" s="7" t="s">
        <v>1645</v>
      </c>
      <c r="E98" s="6" t="s">
        <v>1006</v>
      </c>
      <c r="F98" s="6" t="s">
        <v>930</v>
      </c>
      <c r="G98" s="6" t="s">
        <v>966</v>
      </c>
      <c r="H98" s="6" t="s">
        <v>954</v>
      </c>
      <c r="I98" s="6" t="n">
        <v>1929.58</v>
      </c>
      <c r="J98" s="6" t="s">
        <v>989</v>
      </c>
      <c r="K98" s="6" t="s">
        <v>956</v>
      </c>
      <c r="L98" s="7" t="s">
        <v>1646</v>
      </c>
      <c r="M98" s="6" t="n">
        <v>26</v>
      </c>
      <c r="N98" s="7" t="s">
        <v>1647</v>
      </c>
      <c r="O98" s="7" t="s">
        <v>1648</v>
      </c>
      <c r="P98" s="6"/>
      <c r="Q98" s="7" t="s">
        <v>663</v>
      </c>
      <c r="R98" s="6" t="s">
        <v>662</v>
      </c>
      <c r="S98" s="6" t="s">
        <v>960</v>
      </c>
      <c r="T98" s="6"/>
      <c r="U98" s="6" t="s">
        <v>665</v>
      </c>
      <c r="V98" s="6" t="s">
        <v>665</v>
      </c>
      <c r="W98" s="6" t="s">
        <v>65</v>
      </c>
      <c r="X98" s="6" t="s">
        <v>938</v>
      </c>
      <c r="Y98" s="7" t="s">
        <v>1649</v>
      </c>
      <c r="Z98" s="6" t="s">
        <v>39</v>
      </c>
    </row>
    <row r="99" customFormat="false" ht="45.75" hidden="false" customHeight="true" outlineLevel="0" collapsed="false">
      <c r="A99" s="6" t="s">
        <v>1650</v>
      </c>
      <c r="B99" s="6" t="s">
        <v>667</v>
      </c>
      <c r="C99" s="6" t="s">
        <v>1651</v>
      </c>
      <c r="D99" s="7" t="s">
        <v>1652</v>
      </c>
      <c r="E99" s="6" t="s">
        <v>943</v>
      </c>
      <c r="F99" s="6" t="s">
        <v>944</v>
      </c>
      <c r="G99" s="6" t="s">
        <v>945</v>
      </c>
      <c r="H99" s="6" t="s">
        <v>954</v>
      </c>
      <c r="I99" s="6" t="n">
        <v>1500</v>
      </c>
      <c r="J99" s="6" t="s">
        <v>955</v>
      </c>
      <c r="K99" s="6" t="s">
        <v>956</v>
      </c>
      <c r="L99" s="7" t="s">
        <v>1653</v>
      </c>
      <c r="M99" s="6" t="n">
        <v>26</v>
      </c>
      <c r="N99" s="7" t="s">
        <v>1654</v>
      </c>
      <c r="O99" s="7" t="s">
        <v>1655</v>
      </c>
      <c r="P99" s="6" t="s">
        <v>397</v>
      </c>
      <c r="Q99" s="7" t="s">
        <v>397</v>
      </c>
      <c r="R99" s="6" t="s">
        <v>396</v>
      </c>
      <c r="S99" s="6" t="s">
        <v>936</v>
      </c>
      <c r="T99" s="6"/>
      <c r="U99" s="6" t="s">
        <v>671</v>
      </c>
      <c r="V99" s="6" t="s">
        <v>671</v>
      </c>
      <c r="W99" s="6" t="s">
        <v>65</v>
      </c>
      <c r="X99" s="6" t="s">
        <v>994</v>
      </c>
      <c r="Y99" s="7"/>
      <c r="Z99" s="6" t="s">
        <v>39</v>
      </c>
    </row>
    <row r="100" customFormat="false" ht="34.5" hidden="false" customHeight="true" outlineLevel="0" collapsed="false">
      <c r="A100" s="6" t="s">
        <v>1656</v>
      </c>
      <c r="B100" s="6" t="s">
        <v>674</v>
      </c>
      <c r="C100" s="6" t="s">
        <v>1657</v>
      </c>
      <c r="D100" s="7" t="s">
        <v>1658</v>
      </c>
      <c r="E100" s="6" t="s">
        <v>1006</v>
      </c>
      <c r="F100" s="6" t="s">
        <v>944</v>
      </c>
      <c r="G100" s="6" t="s">
        <v>1509</v>
      </c>
      <c r="H100" s="6" t="s">
        <v>954</v>
      </c>
      <c r="I100" s="6"/>
      <c r="J100" s="6" t="s">
        <v>989</v>
      </c>
      <c r="K100" s="6" t="s">
        <v>956</v>
      </c>
      <c r="L100" s="7" t="s">
        <v>1659</v>
      </c>
      <c r="M100" s="6" t="n">
        <v>22</v>
      </c>
      <c r="N100" s="7" t="s">
        <v>1273</v>
      </c>
      <c r="O100" s="7" t="s">
        <v>1660</v>
      </c>
      <c r="P100" s="6" t="s">
        <v>613</v>
      </c>
      <c r="Q100" s="7" t="s">
        <v>613</v>
      </c>
      <c r="R100" s="6" t="s">
        <v>612</v>
      </c>
      <c r="S100" s="6" t="s">
        <v>960</v>
      </c>
      <c r="T100" s="6" t="s">
        <v>1661</v>
      </c>
      <c r="U100" s="6" t="s">
        <v>677</v>
      </c>
      <c r="V100" s="6" t="s">
        <v>677</v>
      </c>
      <c r="W100" s="6" t="s">
        <v>65</v>
      </c>
      <c r="X100" s="6" t="s">
        <v>994</v>
      </c>
      <c r="Y100" s="7"/>
      <c r="Z100" s="6" t="s">
        <v>39</v>
      </c>
    </row>
    <row r="101" customFormat="false" ht="34.5" hidden="false" customHeight="true" outlineLevel="0" collapsed="false">
      <c r="A101" s="6" t="s">
        <v>1662</v>
      </c>
      <c r="B101" s="6" t="s">
        <v>680</v>
      </c>
      <c r="C101" s="6" t="s">
        <v>1663</v>
      </c>
      <c r="D101" s="7" t="s">
        <v>1664</v>
      </c>
      <c r="E101" s="6" t="s">
        <v>1006</v>
      </c>
      <c r="F101" s="6" t="s">
        <v>944</v>
      </c>
      <c r="G101" s="6" t="s">
        <v>966</v>
      </c>
      <c r="H101" s="6" t="s">
        <v>954</v>
      </c>
      <c r="I101" s="6"/>
      <c r="J101" s="6" t="s">
        <v>989</v>
      </c>
      <c r="K101" s="6" t="s">
        <v>956</v>
      </c>
      <c r="L101" s="7" t="s">
        <v>1665</v>
      </c>
      <c r="M101" s="6" t="n">
        <v>26</v>
      </c>
      <c r="N101" s="7" t="s">
        <v>1666</v>
      </c>
      <c r="O101" s="7" t="s">
        <v>1667</v>
      </c>
      <c r="P101" s="6" t="s">
        <v>683</v>
      </c>
      <c r="Q101" s="7" t="s">
        <v>683</v>
      </c>
      <c r="R101" s="6" t="s">
        <v>682</v>
      </c>
      <c r="S101" s="6" t="s">
        <v>960</v>
      </c>
      <c r="T101" s="6" t="s">
        <v>1668</v>
      </c>
      <c r="U101" s="6" t="s">
        <v>1669</v>
      </c>
      <c r="V101" s="6" t="s">
        <v>1669</v>
      </c>
      <c r="W101" s="6" t="s">
        <v>65</v>
      </c>
      <c r="X101" s="6" t="s">
        <v>994</v>
      </c>
      <c r="Y101" s="7"/>
      <c r="Z101" s="6" t="s">
        <v>39</v>
      </c>
    </row>
    <row r="102" customFormat="false" ht="34.5" hidden="false" customHeight="true" outlineLevel="0" collapsed="false">
      <c r="A102" s="6" t="s">
        <v>1670</v>
      </c>
      <c r="B102" s="6" t="s">
        <v>688</v>
      </c>
      <c r="C102" s="6" t="s">
        <v>1671</v>
      </c>
      <c r="D102" s="7" t="s">
        <v>1672</v>
      </c>
      <c r="E102" s="6" t="s">
        <v>1006</v>
      </c>
      <c r="F102" s="6" t="s">
        <v>1270</v>
      </c>
      <c r="G102" s="6" t="s">
        <v>966</v>
      </c>
      <c r="H102" s="6" t="s">
        <v>954</v>
      </c>
      <c r="I102" s="6"/>
      <c r="J102" s="6" t="s">
        <v>989</v>
      </c>
      <c r="K102" s="6" t="s">
        <v>956</v>
      </c>
      <c r="L102" s="7" t="s">
        <v>1673</v>
      </c>
      <c r="M102" s="6" t="n">
        <v>48</v>
      </c>
      <c r="N102" s="7" t="s">
        <v>1674</v>
      </c>
      <c r="O102" s="7" t="s">
        <v>1675</v>
      </c>
      <c r="P102" s="6"/>
      <c r="Q102" s="7" t="s">
        <v>691</v>
      </c>
      <c r="R102" s="6" t="s">
        <v>690</v>
      </c>
      <c r="S102" s="6" t="s">
        <v>960</v>
      </c>
      <c r="T102" s="6"/>
      <c r="U102" s="6" t="s">
        <v>693</v>
      </c>
      <c r="V102" s="6" t="s">
        <v>693</v>
      </c>
      <c r="W102" s="6" t="s">
        <v>65</v>
      </c>
      <c r="X102" s="6" t="s">
        <v>938</v>
      </c>
      <c r="Y102" s="7" t="s">
        <v>1676</v>
      </c>
      <c r="Z102" s="6" t="s">
        <v>39</v>
      </c>
    </row>
    <row r="103" customFormat="false" ht="34.5" hidden="false" customHeight="true" outlineLevel="0" collapsed="false">
      <c r="A103" s="6" t="s">
        <v>1677</v>
      </c>
      <c r="B103" s="6" t="s">
        <v>695</v>
      </c>
      <c r="C103" s="6" t="s">
        <v>1678</v>
      </c>
      <c r="D103" s="7" t="s">
        <v>1679</v>
      </c>
      <c r="E103" s="6" t="s">
        <v>943</v>
      </c>
      <c r="F103" s="6" t="s">
        <v>944</v>
      </c>
      <c r="G103" s="6" t="s">
        <v>1193</v>
      </c>
      <c r="H103" s="6" t="s">
        <v>954</v>
      </c>
      <c r="I103" s="6" t="n">
        <v>500</v>
      </c>
      <c r="J103" s="6" t="s">
        <v>989</v>
      </c>
      <c r="K103" s="6" t="s">
        <v>956</v>
      </c>
      <c r="L103" s="7" t="s">
        <v>1680</v>
      </c>
      <c r="M103" s="6" t="n">
        <v>26</v>
      </c>
      <c r="N103" s="7" t="s">
        <v>1681</v>
      </c>
      <c r="O103" s="7"/>
      <c r="P103" s="6"/>
      <c r="Q103" s="7" t="s">
        <v>697</v>
      </c>
      <c r="R103" s="6" t="s">
        <v>544</v>
      </c>
      <c r="S103" s="6" t="s">
        <v>936</v>
      </c>
      <c r="T103" s="6"/>
      <c r="U103" s="6"/>
      <c r="V103" s="6" t="s">
        <v>1682</v>
      </c>
      <c r="W103" s="6" t="s">
        <v>55</v>
      </c>
      <c r="X103" s="6" t="s">
        <v>938</v>
      </c>
      <c r="Y103" s="7" t="s">
        <v>1683</v>
      </c>
      <c r="Z103" s="6" t="s">
        <v>39</v>
      </c>
    </row>
    <row r="104" customFormat="false" ht="57" hidden="false" customHeight="true" outlineLevel="0" collapsed="false">
      <c r="A104" s="6" t="s">
        <v>1684</v>
      </c>
      <c r="B104" s="6" t="s">
        <v>701</v>
      </c>
      <c r="C104" s="6" t="s">
        <v>1685</v>
      </c>
      <c r="D104" s="7" t="s">
        <v>1686</v>
      </c>
      <c r="E104" s="6" t="s">
        <v>943</v>
      </c>
      <c r="F104" s="6" t="s">
        <v>944</v>
      </c>
      <c r="G104" s="6" t="s">
        <v>1687</v>
      </c>
      <c r="H104" s="6" t="s">
        <v>954</v>
      </c>
      <c r="I104" s="6"/>
      <c r="J104" s="6"/>
      <c r="K104" s="6" t="s">
        <v>956</v>
      </c>
      <c r="L104" s="7" t="s">
        <v>1688</v>
      </c>
      <c r="M104" s="6" t="n">
        <v>26</v>
      </c>
      <c r="N104" s="7" t="s">
        <v>1689</v>
      </c>
      <c r="O104" s="7" t="s">
        <v>1690</v>
      </c>
      <c r="P104" s="6" t="s">
        <v>599</v>
      </c>
      <c r="Q104" s="7" t="s">
        <v>599</v>
      </c>
      <c r="R104" s="6" t="s">
        <v>513</v>
      </c>
      <c r="S104" s="6" t="s">
        <v>936</v>
      </c>
      <c r="T104" s="6"/>
      <c r="U104" s="6" t="s">
        <v>1975</v>
      </c>
      <c r="V104" s="6" t="s">
        <v>1975</v>
      </c>
      <c r="W104" s="6" t="s">
        <v>65</v>
      </c>
      <c r="X104" s="6" t="s">
        <v>994</v>
      </c>
      <c r="Y104" s="7"/>
      <c r="Z104" s="6" t="s">
        <v>1966</v>
      </c>
    </row>
    <row r="105" customFormat="false" ht="34.5" hidden="false" customHeight="true" outlineLevel="0" collapsed="false">
      <c r="A105" s="6" t="s">
        <v>1691</v>
      </c>
      <c r="B105" s="6" t="s">
        <v>708</v>
      </c>
      <c r="C105" s="6" t="s">
        <v>1692</v>
      </c>
      <c r="D105" s="7" t="s">
        <v>1693</v>
      </c>
      <c r="E105" s="6" t="s">
        <v>943</v>
      </c>
      <c r="F105" s="6" t="s">
        <v>944</v>
      </c>
      <c r="G105" s="6" t="s">
        <v>945</v>
      </c>
      <c r="H105" s="6"/>
      <c r="I105" s="6"/>
      <c r="J105" s="6"/>
      <c r="K105" s="6"/>
      <c r="L105" s="7" t="s">
        <v>1694</v>
      </c>
      <c r="M105" s="6" t="n">
        <v>26</v>
      </c>
      <c r="N105" s="7" t="s">
        <v>1298</v>
      </c>
      <c r="O105" s="7" t="s">
        <v>1695</v>
      </c>
      <c r="P105" s="6" t="s">
        <v>397</v>
      </c>
      <c r="Q105" s="7" t="s">
        <v>397</v>
      </c>
      <c r="R105" s="6" t="s">
        <v>396</v>
      </c>
      <c r="S105" s="6" t="s">
        <v>936</v>
      </c>
      <c r="T105" s="6"/>
      <c r="U105" s="6"/>
      <c r="V105" s="6" t="s">
        <v>1696</v>
      </c>
      <c r="W105" s="6" t="s">
        <v>55</v>
      </c>
      <c r="X105" s="6" t="s">
        <v>938</v>
      </c>
      <c r="Y105" s="7" t="s">
        <v>1697</v>
      </c>
      <c r="Z105" s="6" t="s">
        <v>39</v>
      </c>
    </row>
    <row r="106" customFormat="false" ht="34.5" hidden="false" customHeight="true" outlineLevel="0" collapsed="false">
      <c r="A106" s="6" t="s">
        <v>1698</v>
      </c>
      <c r="B106" s="6" t="s">
        <v>712</v>
      </c>
      <c r="C106" s="6" t="s">
        <v>1699</v>
      </c>
      <c r="D106" s="7" t="s">
        <v>1700</v>
      </c>
      <c r="E106" s="6" t="s">
        <v>943</v>
      </c>
      <c r="F106" s="6" t="s">
        <v>944</v>
      </c>
      <c r="G106" s="6" t="s">
        <v>1701</v>
      </c>
      <c r="H106" s="6"/>
      <c r="I106" s="6"/>
      <c r="J106" s="6"/>
      <c r="K106" s="6"/>
      <c r="L106" s="7" t="s">
        <v>1694</v>
      </c>
      <c r="M106" s="6" t="n">
        <v>13</v>
      </c>
      <c r="N106" s="7" t="s">
        <v>1195</v>
      </c>
      <c r="O106" s="7" t="s">
        <v>1695</v>
      </c>
      <c r="P106" s="6" t="s">
        <v>397</v>
      </c>
      <c r="Q106" s="7" t="s">
        <v>397</v>
      </c>
      <c r="R106" s="6" t="s">
        <v>396</v>
      </c>
      <c r="S106" s="6" t="s">
        <v>936</v>
      </c>
      <c r="T106" s="6"/>
      <c r="U106" s="6"/>
      <c r="V106" s="6" t="s">
        <v>1702</v>
      </c>
      <c r="W106" s="6" t="s">
        <v>55</v>
      </c>
      <c r="X106" s="6" t="s">
        <v>938</v>
      </c>
      <c r="Y106" s="7" t="s">
        <v>1697</v>
      </c>
      <c r="Z106" s="6" t="s">
        <v>39</v>
      </c>
    </row>
    <row r="107" customFormat="false" ht="57" hidden="false" customHeight="true" outlineLevel="0" collapsed="false">
      <c r="A107" s="6" t="s">
        <v>1703</v>
      </c>
      <c r="B107" s="6" t="s">
        <v>717</v>
      </c>
      <c r="C107" s="6" t="s">
        <v>1704</v>
      </c>
      <c r="D107" s="7" t="s">
        <v>1705</v>
      </c>
      <c r="E107" s="6" t="s">
        <v>943</v>
      </c>
      <c r="F107" s="6" t="s">
        <v>944</v>
      </c>
      <c r="G107" s="6" t="s">
        <v>1706</v>
      </c>
      <c r="H107" s="6" t="s">
        <v>954</v>
      </c>
      <c r="I107" s="6" t="n">
        <v>500</v>
      </c>
      <c r="J107" s="6" t="s">
        <v>989</v>
      </c>
      <c r="K107" s="6" t="s">
        <v>956</v>
      </c>
      <c r="L107" s="7" t="s">
        <v>1707</v>
      </c>
      <c r="M107" s="6" t="n">
        <v>26</v>
      </c>
      <c r="N107" s="7" t="s">
        <v>1320</v>
      </c>
      <c r="O107" s="7" t="s">
        <v>1382</v>
      </c>
      <c r="P107" s="6" t="s">
        <v>433</v>
      </c>
      <c r="Q107" s="7" t="s">
        <v>433</v>
      </c>
      <c r="R107" s="6" t="s">
        <v>432</v>
      </c>
      <c r="S107" s="6" t="s">
        <v>1047</v>
      </c>
      <c r="T107" s="6"/>
      <c r="U107" s="6" t="s">
        <v>721</v>
      </c>
      <c r="V107" s="6" t="s">
        <v>721</v>
      </c>
      <c r="W107" s="6" t="s">
        <v>65</v>
      </c>
      <c r="X107" s="6" t="s">
        <v>994</v>
      </c>
      <c r="Y107" s="7"/>
      <c r="Z107" s="6" t="s">
        <v>39</v>
      </c>
    </row>
    <row r="108" customFormat="false" ht="45.75" hidden="false" customHeight="true" outlineLevel="0" collapsed="false">
      <c r="A108" s="6" t="s">
        <v>1708</v>
      </c>
      <c r="B108" s="6" t="s">
        <v>724</v>
      </c>
      <c r="C108" s="6" t="s">
        <v>1709</v>
      </c>
      <c r="D108" s="7" t="s">
        <v>1710</v>
      </c>
      <c r="E108" s="6" t="s">
        <v>943</v>
      </c>
      <c r="F108" s="6" t="s">
        <v>930</v>
      </c>
      <c r="G108" s="6" t="s">
        <v>1711</v>
      </c>
      <c r="H108" s="6"/>
      <c r="I108" s="6"/>
      <c r="J108" s="6"/>
      <c r="K108" s="6"/>
      <c r="L108" s="7" t="s">
        <v>1712</v>
      </c>
      <c r="M108" s="6" t="n">
        <v>26</v>
      </c>
      <c r="N108" s="7" t="s">
        <v>1338</v>
      </c>
      <c r="O108" s="7" t="s">
        <v>1695</v>
      </c>
      <c r="P108" s="6" t="s">
        <v>433</v>
      </c>
      <c r="Q108" s="7" t="s">
        <v>433</v>
      </c>
      <c r="R108" s="6" t="s">
        <v>432</v>
      </c>
      <c r="S108" s="6" t="s">
        <v>936</v>
      </c>
      <c r="T108" s="6"/>
      <c r="U108" s="6"/>
      <c r="V108" s="6" t="s">
        <v>1713</v>
      </c>
      <c r="W108" s="6" t="s">
        <v>55</v>
      </c>
      <c r="X108" s="6" t="s">
        <v>938</v>
      </c>
      <c r="Y108" s="7" t="s">
        <v>1714</v>
      </c>
      <c r="Z108" s="6" t="s">
        <v>39</v>
      </c>
    </row>
    <row r="109" customFormat="false" ht="34.5" hidden="false" customHeight="true" outlineLevel="0" collapsed="false">
      <c r="A109" s="6" t="s">
        <v>1715</v>
      </c>
      <c r="B109" s="6" t="s">
        <v>729</v>
      </c>
      <c r="C109" s="6" t="s">
        <v>1716</v>
      </c>
      <c r="D109" s="7" t="s">
        <v>1717</v>
      </c>
      <c r="E109" s="6" t="s">
        <v>943</v>
      </c>
      <c r="F109" s="6" t="s">
        <v>930</v>
      </c>
      <c r="G109" s="6" t="s">
        <v>1718</v>
      </c>
      <c r="H109" s="6"/>
      <c r="I109" s="6"/>
      <c r="J109" s="6"/>
      <c r="K109" s="6"/>
      <c r="L109" s="7" t="s">
        <v>1719</v>
      </c>
      <c r="M109" s="6" t="n">
        <v>17</v>
      </c>
      <c r="N109" s="7" t="s">
        <v>1720</v>
      </c>
      <c r="O109" s="7" t="s">
        <v>1695</v>
      </c>
      <c r="P109" s="6" t="s">
        <v>397</v>
      </c>
      <c r="Q109" s="7" t="s">
        <v>397</v>
      </c>
      <c r="R109" s="6" t="s">
        <v>396</v>
      </c>
      <c r="S109" s="6" t="s">
        <v>1047</v>
      </c>
      <c r="T109" s="6"/>
      <c r="U109" s="6"/>
      <c r="V109" s="6" t="s">
        <v>1721</v>
      </c>
      <c r="W109" s="6" t="s">
        <v>55</v>
      </c>
      <c r="X109" s="6" t="s">
        <v>938</v>
      </c>
      <c r="Y109" s="7" t="s">
        <v>1697</v>
      </c>
      <c r="Z109" s="6" t="s">
        <v>39</v>
      </c>
    </row>
    <row r="110" customFormat="false" ht="45.75" hidden="false" customHeight="true" outlineLevel="0" collapsed="false">
      <c r="A110" s="6" t="s">
        <v>1722</v>
      </c>
      <c r="B110" s="6" t="s">
        <v>740</v>
      </c>
      <c r="C110" s="6" t="s">
        <v>1723</v>
      </c>
      <c r="D110" s="7" t="s">
        <v>1724</v>
      </c>
      <c r="E110" s="6" t="s">
        <v>943</v>
      </c>
      <c r="F110" s="6" t="s">
        <v>944</v>
      </c>
      <c r="G110" s="6" t="s">
        <v>1725</v>
      </c>
      <c r="H110" s="6" t="s">
        <v>954</v>
      </c>
      <c r="I110" s="6"/>
      <c r="J110" s="6"/>
      <c r="K110" s="6" t="s">
        <v>956</v>
      </c>
      <c r="L110" s="7" t="s">
        <v>1726</v>
      </c>
      <c r="M110" s="6" t="n">
        <v>26</v>
      </c>
      <c r="N110" s="7" t="s">
        <v>1727</v>
      </c>
      <c r="O110" s="7" t="s">
        <v>1728</v>
      </c>
      <c r="P110" s="6" t="s">
        <v>397</v>
      </c>
      <c r="Q110" s="7" t="s">
        <v>397</v>
      </c>
      <c r="R110" s="6" t="s">
        <v>396</v>
      </c>
      <c r="S110" s="6" t="s">
        <v>960</v>
      </c>
      <c r="T110" s="6"/>
      <c r="U110" s="6"/>
      <c r="V110" s="6" t="s">
        <v>1729</v>
      </c>
      <c r="W110" s="6" t="s">
        <v>55</v>
      </c>
      <c r="X110" s="6" t="s">
        <v>1429</v>
      </c>
      <c r="Y110" s="7" t="s">
        <v>1730</v>
      </c>
      <c r="Z110" s="6" t="s">
        <v>39</v>
      </c>
    </row>
    <row r="111" customFormat="false" ht="34.5" hidden="false" customHeight="true" outlineLevel="0" collapsed="false">
      <c r="A111" s="6" t="s">
        <v>1731</v>
      </c>
      <c r="B111" s="6" t="s">
        <v>747</v>
      </c>
      <c r="C111" s="6" t="s">
        <v>1732</v>
      </c>
      <c r="D111" s="7" t="s">
        <v>1733</v>
      </c>
      <c r="E111" s="6" t="s">
        <v>1006</v>
      </c>
      <c r="F111" s="6" t="s">
        <v>930</v>
      </c>
      <c r="G111" s="6" t="s">
        <v>1734</v>
      </c>
      <c r="H111" s="6" t="s">
        <v>954</v>
      </c>
      <c r="I111" s="6" t="n">
        <v>900</v>
      </c>
      <c r="J111" s="6" t="s">
        <v>955</v>
      </c>
      <c r="K111" s="6" t="s">
        <v>956</v>
      </c>
      <c r="L111" s="7" t="s">
        <v>1735</v>
      </c>
      <c r="M111" s="6" t="n">
        <v>26</v>
      </c>
      <c r="N111" s="7" t="s">
        <v>1736</v>
      </c>
      <c r="O111" s="7" t="s">
        <v>1737</v>
      </c>
      <c r="P111" s="6" t="s">
        <v>397</v>
      </c>
      <c r="Q111" s="7" t="s">
        <v>397</v>
      </c>
      <c r="R111" s="6" t="s">
        <v>396</v>
      </c>
      <c r="S111" s="6" t="s">
        <v>936</v>
      </c>
      <c r="T111" s="6"/>
      <c r="U111" s="6" t="s">
        <v>1738</v>
      </c>
      <c r="V111" s="6" t="s">
        <v>1738</v>
      </c>
      <c r="W111" s="6" t="s">
        <v>65</v>
      </c>
      <c r="X111" s="6" t="s">
        <v>994</v>
      </c>
      <c r="Y111" s="7"/>
      <c r="Z111" s="6" t="s">
        <v>39</v>
      </c>
    </row>
    <row r="112" customFormat="false" ht="34.5" hidden="false" customHeight="true" outlineLevel="0" collapsed="false">
      <c r="A112" s="6" t="s">
        <v>1739</v>
      </c>
      <c r="B112" s="6" t="s">
        <v>754</v>
      </c>
      <c r="C112" s="6" t="s">
        <v>1740</v>
      </c>
      <c r="D112" s="7" t="s">
        <v>1741</v>
      </c>
      <c r="E112" s="6" t="s">
        <v>943</v>
      </c>
      <c r="F112" s="6" t="s">
        <v>944</v>
      </c>
      <c r="G112" s="6" t="s">
        <v>945</v>
      </c>
      <c r="H112" s="6"/>
      <c r="I112" s="6"/>
      <c r="J112" s="6"/>
      <c r="K112" s="6"/>
      <c r="L112" s="7" t="s">
        <v>1742</v>
      </c>
      <c r="M112" s="6" t="n">
        <v>26</v>
      </c>
      <c r="N112" s="7" t="s">
        <v>1338</v>
      </c>
      <c r="O112" s="7" t="s">
        <v>1695</v>
      </c>
      <c r="P112" s="6" t="s">
        <v>397</v>
      </c>
      <c r="Q112" s="7" t="s">
        <v>757</v>
      </c>
      <c r="R112" s="6" t="s">
        <v>756</v>
      </c>
      <c r="S112" s="6" t="s">
        <v>936</v>
      </c>
      <c r="T112" s="6"/>
      <c r="U112" s="6"/>
      <c r="V112" s="6" t="s">
        <v>1743</v>
      </c>
      <c r="W112" s="6" t="s">
        <v>55</v>
      </c>
      <c r="X112" s="6" t="s">
        <v>938</v>
      </c>
      <c r="Y112" s="7" t="s">
        <v>1744</v>
      </c>
      <c r="Z112" s="6" t="s">
        <v>39</v>
      </c>
    </row>
    <row r="113" customFormat="false" ht="45.75" hidden="false" customHeight="true" outlineLevel="0" collapsed="false">
      <c r="A113" s="6" t="s">
        <v>1745</v>
      </c>
      <c r="B113" s="6" t="s">
        <v>760</v>
      </c>
      <c r="C113" s="6" t="s">
        <v>1746</v>
      </c>
      <c r="D113" s="7" t="s">
        <v>1747</v>
      </c>
      <c r="E113" s="6" t="s">
        <v>943</v>
      </c>
      <c r="F113" s="6" t="s">
        <v>944</v>
      </c>
      <c r="G113" s="6" t="s">
        <v>1748</v>
      </c>
      <c r="H113" s="6" t="s">
        <v>954</v>
      </c>
      <c r="I113" s="6"/>
      <c r="J113" s="6" t="s">
        <v>989</v>
      </c>
      <c r="K113" s="6" t="s">
        <v>1296</v>
      </c>
      <c r="L113" s="7" t="s">
        <v>1749</v>
      </c>
      <c r="M113" s="6"/>
      <c r="N113" s="7" t="s">
        <v>37</v>
      </c>
      <c r="O113" s="7" t="s">
        <v>1750</v>
      </c>
      <c r="P113" s="6"/>
      <c r="Q113" s="7" t="s">
        <v>762</v>
      </c>
      <c r="R113" s="6" t="s">
        <v>513</v>
      </c>
      <c r="S113" s="6" t="s">
        <v>960</v>
      </c>
      <c r="T113" s="6"/>
      <c r="U113" s="6" t="s">
        <v>765</v>
      </c>
      <c r="V113" s="6" t="s">
        <v>765</v>
      </c>
      <c r="W113" s="6" t="s">
        <v>65</v>
      </c>
      <c r="X113" s="6" t="s">
        <v>938</v>
      </c>
      <c r="Y113" s="7" t="s">
        <v>1751</v>
      </c>
      <c r="Z113" s="6" t="s">
        <v>39</v>
      </c>
    </row>
    <row r="114" customFormat="false" ht="34.5" hidden="false" customHeight="true" outlineLevel="0" collapsed="false">
      <c r="A114" s="6" t="s">
        <v>1752</v>
      </c>
      <c r="B114" s="6" t="s">
        <v>106</v>
      </c>
      <c r="C114" s="6" t="s">
        <v>1753</v>
      </c>
      <c r="D114" s="7" t="s">
        <v>1754</v>
      </c>
      <c r="E114" s="6" t="s">
        <v>943</v>
      </c>
      <c r="F114" s="6" t="s">
        <v>944</v>
      </c>
      <c r="G114" s="6" t="s">
        <v>1755</v>
      </c>
      <c r="H114" s="6" t="s">
        <v>954</v>
      </c>
      <c r="I114" s="6"/>
      <c r="J114" s="6"/>
      <c r="K114" s="6"/>
      <c r="L114" s="7" t="s">
        <v>1756</v>
      </c>
      <c r="M114" s="6" t="n">
        <v>6</v>
      </c>
      <c r="N114" s="7" t="s">
        <v>1757</v>
      </c>
      <c r="O114" s="7" t="s">
        <v>1758</v>
      </c>
      <c r="P114" s="6" t="s">
        <v>1759</v>
      </c>
      <c r="Q114" s="7" t="s">
        <v>1760</v>
      </c>
      <c r="R114" s="6" t="s">
        <v>513</v>
      </c>
      <c r="S114" s="6" t="s">
        <v>960</v>
      </c>
      <c r="T114" s="6" t="s">
        <v>1761</v>
      </c>
      <c r="U114" s="6" t="s">
        <v>111</v>
      </c>
      <c r="V114" s="6" t="s">
        <v>111</v>
      </c>
      <c r="W114" s="6" t="s">
        <v>65</v>
      </c>
      <c r="X114" s="6" t="s">
        <v>994</v>
      </c>
      <c r="Y114" s="7"/>
      <c r="Z114" s="6" t="s">
        <v>39</v>
      </c>
    </row>
    <row r="115" customFormat="false" ht="34.5" hidden="false" customHeight="true" outlineLevel="0" collapsed="false">
      <c r="A115" s="6" t="s">
        <v>1762</v>
      </c>
      <c r="B115" s="6" t="s">
        <v>106</v>
      </c>
      <c r="C115" s="6" t="s">
        <v>1763</v>
      </c>
      <c r="D115" s="7" t="s">
        <v>1764</v>
      </c>
      <c r="E115" s="6" t="s">
        <v>929</v>
      </c>
      <c r="F115" s="6" t="s">
        <v>944</v>
      </c>
      <c r="G115" s="6" t="s">
        <v>1765</v>
      </c>
      <c r="H115" s="6" t="s">
        <v>954</v>
      </c>
      <c r="I115" s="6"/>
      <c r="J115" s="6"/>
      <c r="K115" s="6"/>
      <c r="L115" s="7" t="s">
        <v>1766</v>
      </c>
      <c r="M115" s="6" t="n">
        <v>52</v>
      </c>
      <c r="N115" s="7" t="s">
        <v>1767</v>
      </c>
      <c r="O115" s="7"/>
      <c r="P115" s="6" t="s">
        <v>1759</v>
      </c>
      <c r="Q115" s="7" t="s">
        <v>1760</v>
      </c>
      <c r="R115" s="6" t="s">
        <v>513</v>
      </c>
      <c r="S115" s="6" t="s">
        <v>960</v>
      </c>
      <c r="T115" s="6"/>
      <c r="U115" s="6"/>
      <c r="V115" s="6" t="s">
        <v>1768</v>
      </c>
      <c r="W115" s="6" t="s">
        <v>55</v>
      </c>
      <c r="X115" s="6" t="s">
        <v>938</v>
      </c>
      <c r="Y115" s="7" t="s">
        <v>1769</v>
      </c>
      <c r="Z115" s="6" t="s">
        <v>39</v>
      </c>
    </row>
    <row r="116" customFormat="false" ht="45.75" hidden="false" customHeight="true" outlineLevel="0" collapsed="false">
      <c r="A116" s="6" t="s">
        <v>1770</v>
      </c>
      <c r="B116" s="6" t="s">
        <v>766</v>
      </c>
      <c r="C116" s="6" t="s">
        <v>1771</v>
      </c>
      <c r="D116" s="7" t="s">
        <v>1772</v>
      </c>
      <c r="E116" s="6" t="s">
        <v>943</v>
      </c>
      <c r="F116" s="6" t="s">
        <v>944</v>
      </c>
      <c r="G116" s="6" t="s">
        <v>1773</v>
      </c>
      <c r="H116" s="6" t="s">
        <v>954</v>
      </c>
      <c r="I116" s="6"/>
      <c r="J116" s="6"/>
      <c r="K116" s="6"/>
      <c r="L116" s="7" t="s">
        <v>1774</v>
      </c>
      <c r="M116" s="6" t="n">
        <v>4</v>
      </c>
      <c r="N116" s="7" t="s">
        <v>1775</v>
      </c>
      <c r="O116" s="7" t="s">
        <v>1776</v>
      </c>
      <c r="P116" s="6" t="s">
        <v>768</v>
      </c>
      <c r="Q116" s="7" t="s">
        <v>768</v>
      </c>
      <c r="R116" s="6" t="s">
        <v>424</v>
      </c>
      <c r="S116" s="6" t="s">
        <v>960</v>
      </c>
      <c r="T116" s="6"/>
      <c r="U116" s="6" t="s">
        <v>771</v>
      </c>
      <c r="V116" s="6" t="s">
        <v>771</v>
      </c>
      <c r="W116" s="6" t="s">
        <v>65</v>
      </c>
      <c r="X116" s="6" t="s">
        <v>994</v>
      </c>
      <c r="Y116" s="7"/>
      <c r="Z116" s="6" t="s">
        <v>39</v>
      </c>
    </row>
    <row r="117" customFormat="false" ht="34.5" hidden="false" customHeight="true" outlineLevel="0" collapsed="false">
      <c r="A117" s="6" t="s">
        <v>1777</v>
      </c>
      <c r="B117" s="6" t="s">
        <v>785</v>
      </c>
      <c r="C117" s="6" t="s">
        <v>1778</v>
      </c>
      <c r="D117" s="7" t="s">
        <v>1779</v>
      </c>
      <c r="E117" s="6" t="s">
        <v>943</v>
      </c>
      <c r="F117" s="6" t="s">
        <v>944</v>
      </c>
      <c r="G117" s="6" t="s">
        <v>1780</v>
      </c>
      <c r="H117" s="6" t="s">
        <v>954</v>
      </c>
      <c r="I117" s="6"/>
      <c r="J117" s="6"/>
      <c r="K117" s="6"/>
      <c r="L117" s="7" t="s">
        <v>1781</v>
      </c>
      <c r="M117" s="6" t="n">
        <v>26</v>
      </c>
      <c r="N117" s="7" t="s">
        <v>1782</v>
      </c>
      <c r="O117" s="7" t="s">
        <v>1783</v>
      </c>
      <c r="P117" s="6"/>
      <c r="Q117" s="7" t="s">
        <v>787</v>
      </c>
      <c r="R117" s="6" t="s">
        <v>424</v>
      </c>
      <c r="S117" s="6" t="s">
        <v>960</v>
      </c>
      <c r="T117" s="6"/>
      <c r="U117" s="6" t="s">
        <v>790</v>
      </c>
      <c r="V117" s="6" t="s">
        <v>790</v>
      </c>
      <c r="W117" s="6" t="s">
        <v>65</v>
      </c>
      <c r="X117" s="6" t="s">
        <v>938</v>
      </c>
      <c r="Y117" s="7" t="s">
        <v>1784</v>
      </c>
      <c r="Z117" s="6" t="s">
        <v>39</v>
      </c>
    </row>
    <row r="118" customFormat="false" ht="34.5" hidden="false" customHeight="true" outlineLevel="0" collapsed="false">
      <c r="A118" s="6" t="s">
        <v>1785</v>
      </c>
      <c r="B118" s="6" t="s">
        <v>792</v>
      </c>
      <c r="C118" s="6" t="s">
        <v>1786</v>
      </c>
      <c r="D118" s="7" t="s">
        <v>1787</v>
      </c>
      <c r="E118" s="6" t="s">
        <v>1006</v>
      </c>
      <c r="F118" s="6" t="s">
        <v>944</v>
      </c>
      <c r="G118" s="6" t="s">
        <v>1509</v>
      </c>
      <c r="H118" s="6" t="s">
        <v>954</v>
      </c>
      <c r="I118" s="6"/>
      <c r="J118" s="6" t="s">
        <v>989</v>
      </c>
      <c r="K118" s="6" t="s">
        <v>956</v>
      </c>
      <c r="L118" s="7" t="s">
        <v>1788</v>
      </c>
      <c r="M118" s="6" t="n">
        <v>52</v>
      </c>
      <c r="N118" s="7" t="s">
        <v>1603</v>
      </c>
      <c r="O118" s="7" t="s">
        <v>1789</v>
      </c>
      <c r="P118" s="6"/>
      <c r="Q118" s="7" t="s">
        <v>795</v>
      </c>
      <c r="R118" s="6" t="s">
        <v>794</v>
      </c>
      <c r="S118" s="6" t="s">
        <v>960</v>
      </c>
      <c r="T118" s="6"/>
      <c r="U118" s="6" t="s">
        <v>797</v>
      </c>
      <c r="V118" s="6" t="s">
        <v>797</v>
      </c>
      <c r="W118" s="6" t="s">
        <v>65</v>
      </c>
      <c r="X118" s="6" t="s">
        <v>938</v>
      </c>
      <c r="Y118" s="7" t="s">
        <v>1790</v>
      </c>
      <c r="Z118" s="6" t="s">
        <v>39</v>
      </c>
    </row>
    <row r="119" customFormat="false" ht="34.5" hidden="false" customHeight="true" outlineLevel="0" collapsed="false">
      <c r="A119" s="6" t="s">
        <v>1791</v>
      </c>
      <c r="B119" s="6" t="s">
        <v>798</v>
      </c>
      <c r="C119" s="6" t="s">
        <v>1792</v>
      </c>
      <c r="D119" s="7" t="s">
        <v>1793</v>
      </c>
      <c r="E119" s="6" t="s">
        <v>943</v>
      </c>
      <c r="F119" s="6" t="s">
        <v>930</v>
      </c>
      <c r="G119" s="6" t="s">
        <v>945</v>
      </c>
      <c r="H119" s="6" t="s">
        <v>954</v>
      </c>
      <c r="I119" s="6"/>
      <c r="J119" s="6" t="s">
        <v>989</v>
      </c>
      <c r="K119" s="6"/>
      <c r="L119" s="7" t="s">
        <v>1794</v>
      </c>
      <c r="M119" s="6" t="n">
        <v>22</v>
      </c>
      <c r="N119" s="7" t="s">
        <v>1795</v>
      </c>
      <c r="O119" s="7" t="s">
        <v>1796</v>
      </c>
      <c r="P119" s="6"/>
      <c r="Q119" s="7" t="s">
        <v>800</v>
      </c>
      <c r="R119" s="6" t="s">
        <v>800</v>
      </c>
      <c r="S119" s="6" t="s">
        <v>960</v>
      </c>
      <c r="T119" s="6"/>
      <c r="U119" s="6" t="s">
        <v>803</v>
      </c>
      <c r="V119" s="6" t="s">
        <v>803</v>
      </c>
      <c r="W119" s="6" t="s">
        <v>65</v>
      </c>
      <c r="X119" s="6" t="s">
        <v>938</v>
      </c>
      <c r="Y119" s="7" t="s">
        <v>1797</v>
      </c>
      <c r="Z119" s="6" t="s">
        <v>39</v>
      </c>
    </row>
    <row r="120" customFormat="false" ht="34.5" hidden="false" customHeight="true" outlineLevel="0" collapsed="false">
      <c r="A120" s="6" t="s">
        <v>1798</v>
      </c>
      <c r="B120" s="6" t="s">
        <v>805</v>
      </c>
      <c r="C120" s="6" t="s">
        <v>1799</v>
      </c>
      <c r="D120" s="7" t="s">
        <v>1800</v>
      </c>
      <c r="E120" s="6" t="s">
        <v>943</v>
      </c>
      <c r="F120" s="6" t="s">
        <v>930</v>
      </c>
      <c r="G120" s="6" t="s">
        <v>945</v>
      </c>
      <c r="H120" s="6"/>
      <c r="I120" s="6"/>
      <c r="J120" s="6"/>
      <c r="K120" s="6"/>
      <c r="L120" s="7" t="s">
        <v>1801</v>
      </c>
      <c r="M120" s="6" t="n">
        <v>26</v>
      </c>
      <c r="N120" s="7" t="s">
        <v>969</v>
      </c>
      <c r="O120" s="7" t="s">
        <v>1802</v>
      </c>
      <c r="P120" s="6" t="s">
        <v>425</v>
      </c>
      <c r="Q120" s="7" t="s">
        <v>425</v>
      </c>
      <c r="R120" s="6" t="s">
        <v>424</v>
      </c>
      <c r="S120" s="6" t="s">
        <v>936</v>
      </c>
      <c r="T120" s="6"/>
      <c r="U120" s="6" t="s">
        <v>1803</v>
      </c>
      <c r="V120" s="6" t="s">
        <v>1803</v>
      </c>
      <c r="W120" s="6" t="s">
        <v>65</v>
      </c>
      <c r="X120" s="6" t="s">
        <v>938</v>
      </c>
      <c r="Y120" s="7" t="s">
        <v>1804</v>
      </c>
      <c r="Z120" s="6" t="s">
        <v>39</v>
      </c>
    </row>
    <row r="121" customFormat="false" ht="45.75" hidden="false" customHeight="true" outlineLevel="0" collapsed="false">
      <c r="A121" s="6" t="s">
        <v>1805</v>
      </c>
      <c r="B121" s="6" t="s">
        <v>815</v>
      </c>
      <c r="C121" s="6" t="s">
        <v>1806</v>
      </c>
      <c r="D121" s="7" t="s">
        <v>1807</v>
      </c>
      <c r="E121" s="6" t="s">
        <v>943</v>
      </c>
      <c r="F121" s="6" t="s">
        <v>944</v>
      </c>
      <c r="G121" s="6" t="s">
        <v>1808</v>
      </c>
      <c r="H121" s="6" t="s">
        <v>954</v>
      </c>
      <c r="I121" s="6" t="n">
        <v>1000</v>
      </c>
      <c r="J121" s="6" t="s">
        <v>989</v>
      </c>
      <c r="K121" s="6" t="s">
        <v>956</v>
      </c>
      <c r="L121" s="7" t="s">
        <v>1809</v>
      </c>
      <c r="M121" s="6" t="n">
        <v>26</v>
      </c>
      <c r="N121" s="7" t="s">
        <v>1281</v>
      </c>
      <c r="O121" s="7" t="s">
        <v>1422</v>
      </c>
      <c r="P121" s="6" t="s">
        <v>599</v>
      </c>
      <c r="Q121" s="7" t="s">
        <v>599</v>
      </c>
      <c r="R121" s="6" t="s">
        <v>513</v>
      </c>
      <c r="S121" s="6" t="s">
        <v>936</v>
      </c>
      <c r="T121" s="6"/>
      <c r="U121" s="6" t="s">
        <v>1810</v>
      </c>
      <c r="V121" s="6" t="s">
        <v>1810</v>
      </c>
      <c r="W121" s="6" t="s">
        <v>65</v>
      </c>
      <c r="X121" s="6" t="s">
        <v>1429</v>
      </c>
      <c r="Y121" s="7" t="s">
        <v>1811</v>
      </c>
      <c r="Z121" s="6" t="s">
        <v>39</v>
      </c>
    </row>
    <row r="122" customFormat="false" ht="45.75" hidden="false" customHeight="true" outlineLevel="0" collapsed="false">
      <c r="A122" s="6" t="s">
        <v>1812</v>
      </c>
      <c r="B122" s="6" t="s">
        <v>829</v>
      </c>
      <c r="C122" s="6" t="s">
        <v>1813</v>
      </c>
      <c r="D122" s="7" t="s">
        <v>1814</v>
      </c>
      <c r="E122" s="6" t="s">
        <v>943</v>
      </c>
      <c r="F122" s="6" t="s">
        <v>930</v>
      </c>
      <c r="G122" s="6" t="s">
        <v>1815</v>
      </c>
      <c r="H122" s="6" t="s">
        <v>954</v>
      </c>
      <c r="I122" s="6" t="n">
        <v>1500</v>
      </c>
      <c r="J122" s="6" t="s">
        <v>955</v>
      </c>
      <c r="K122" s="6" t="s">
        <v>956</v>
      </c>
      <c r="L122" s="7" t="s">
        <v>1816</v>
      </c>
      <c r="M122" s="6" t="n">
        <v>26</v>
      </c>
      <c r="N122" s="7" t="s">
        <v>1817</v>
      </c>
      <c r="O122" s="7" t="s">
        <v>1818</v>
      </c>
      <c r="P122" s="6" t="s">
        <v>397</v>
      </c>
      <c r="Q122" s="7" t="s">
        <v>397</v>
      </c>
      <c r="R122" s="6" t="s">
        <v>396</v>
      </c>
      <c r="S122" s="6" t="s">
        <v>936</v>
      </c>
      <c r="T122" s="6"/>
      <c r="U122" s="6" t="s">
        <v>833</v>
      </c>
      <c r="V122" s="6" t="s">
        <v>833</v>
      </c>
      <c r="W122" s="6" t="s">
        <v>65</v>
      </c>
      <c r="X122" s="6" t="s">
        <v>994</v>
      </c>
      <c r="Y122" s="7"/>
      <c r="Z122" s="6" t="s">
        <v>39</v>
      </c>
    </row>
    <row r="123" customFormat="false" ht="57" hidden="false" customHeight="true" outlineLevel="0" collapsed="false">
      <c r="A123" s="6" t="s">
        <v>1819</v>
      </c>
      <c r="B123" s="6" t="s">
        <v>836</v>
      </c>
      <c r="C123" s="6" t="s">
        <v>1820</v>
      </c>
      <c r="D123" s="7" t="s">
        <v>1821</v>
      </c>
      <c r="E123" s="6" t="s">
        <v>943</v>
      </c>
      <c r="F123" s="6" t="s">
        <v>930</v>
      </c>
      <c r="G123" s="6" t="s">
        <v>1822</v>
      </c>
      <c r="H123" s="6" t="s">
        <v>954</v>
      </c>
      <c r="I123" s="6"/>
      <c r="J123" s="6" t="s">
        <v>1379</v>
      </c>
      <c r="K123" s="6" t="s">
        <v>956</v>
      </c>
      <c r="L123" s="7" t="s">
        <v>1977</v>
      </c>
      <c r="M123" s="6" t="n">
        <v>26</v>
      </c>
      <c r="N123" s="7" t="s">
        <v>1824</v>
      </c>
      <c r="O123" s="7" t="s">
        <v>1825</v>
      </c>
      <c r="P123" s="6" t="s">
        <v>397</v>
      </c>
      <c r="Q123" s="7" t="s">
        <v>397</v>
      </c>
      <c r="R123" s="6" t="s">
        <v>396</v>
      </c>
      <c r="S123" s="6" t="s">
        <v>936</v>
      </c>
      <c r="T123" s="6"/>
      <c r="U123" s="6" t="s">
        <v>1976</v>
      </c>
      <c r="V123" s="6" t="s">
        <v>1976</v>
      </c>
      <c r="W123" s="6" t="s">
        <v>65</v>
      </c>
      <c r="X123" s="6" t="s">
        <v>994</v>
      </c>
      <c r="Y123" s="7"/>
      <c r="Z123" s="6" t="s">
        <v>1966</v>
      </c>
    </row>
    <row r="124" customFormat="false" ht="45.75" hidden="false" customHeight="true" outlineLevel="0" collapsed="false">
      <c r="A124" s="6" t="s">
        <v>1826</v>
      </c>
      <c r="B124" s="6" t="s">
        <v>843</v>
      </c>
      <c r="C124" s="6" t="s">
        <v>1827</v>
      </c>
      <c r="D124" s="7" t="s">
        <v>1828</v>
      </c>
      <c r="E124" s="6" t="s">
        <v>943</v>
      </c>
      <c r="F124" s="6" t="s">
        <v>930</v>
      </c>
      <c r="G124" s="6" t="s">
        <v>1829</v>
      </c>
      <c r="H124" s="6" t="s">
        <v>954</v>
      </c>
      <c r="I124" s="6"/>
      <c r="J124" s="6" t="s">
        <v>955</v>
      </c>
      <c r="K124" s="6" t="s">
        <v>956</v>
      </c>
      <c r="L124" s="7" t="s">
        <v>1830</v>
      </c>
      <c r="M124" s="6" t="n">
        <v>26</v>
      </c>
      <c r="N124" s="7" t="s">
        <v>1831</v>
      </c>
      <c r="O124" s="7" t="s">
        <v>1832</v>
      </c>
      <c r="P124" s="6" t="s">
        <v>845</v>
      </c>
      <c r="Q124" s="7" t="s">
        <v>845</v>
      </c>
      <c r="R124" s="6" t="s">
        <v>396</v>
      </c>
      <c r="S124" s="6" t="s">
        <v>936</v>
      </c>
      <c r="T124" s="6"/>
      <c r="U124" s="6" t="s">
        <v>848</v>
      </c>
      <c r="V124" s="6" t="s">
        <v>848</v>
      </c>
      <c r="W124" s="6" t="s">
        <v>65</v>
      </c>
      <c r="X124" s="6" t="s">
        <v>994</v>
      </c>
      <c r="Y124" s="7"/>
      <c r="Z124" s="6" t="s">
        <v>39</v>
      </c>
    </row>
    <row r="125" customFormat="false" ht="45.75" hidden="false" customHeight="true" outlineLevel="0" collapsed="false">
      <c r="A125" s="6" t="s">
        <v>1833</v>
      </c>
      <c r="B125" s="6" t="s">
        <v>458</v>
      </c>
      <c r="C125" s="6" t="s">
        <v>1834</v>
      </c>
      <c r="D125" s="7" t="s">
        <v>1835</v>
      </c>
      <c r="E125" s="6" t="s">
        <v>943</v>
      </c>
      <c r="F125" s="6" t="s">
        <v>944</v>
      </c>
      <c r="G125" s="6" t="s">
        <v>1836</v>
      </c>
      <c r="H125" s="6" t="s">
        <v>954</v>
      </c>
      <c r="I125" s="6"/>
      <c r="J125" s="6" t="s">
        <v>955</v>
      </c>
      <c r="K125" s="6" t="s">
        <v>1296</v>
      </c>
      <c r="L125" s="7" t="s">
        <v>1837</v>
      </c>
      <c r="M125" s="6" t="n">
        <v>9</v>
      </c>
      <c r="N125" s="7" t="s">
        <v>1838</v>
      </c>
      <c r="O125" s="7" t="s">
        <v>1839</v>
      </c>
      <c r="P125" s="6" t="s">
        <v>397</v>
      </c>
      <c r="Q125" s="7" t="s">
        <v>397</v>
      </c>
      <c r="R125" s="6" t="s">
        <v>396</v>
      </c>
      <c r="S125" s="6" t="s">
        <v>960</v>
      </c>
      <c r="T125" s="6" t="s">
        <v>1840</v>
      </c>
      <c r="U125" s="6" t="s">
        <v>1841</v>
      </c>
      <c r="V125" s="6" t="s">
        <v>1841</v>
      </c>
      <c r="W125" s="6" t="s">
        <v>65</v>
      </c>
      <c r="X125" s="6" t="s">
        <v>994</v>
      </c>
      <c r="Y125" s="7"/>
      <c r="Z125" s="6" t="s">
        <v>39</v>
      </c>
    </row>
    <row r="126" customFormat="false" ht="34.5" hidden="false" customHeight="true" outlineLevel="0" collapsed="false">
      <c r="A126" s="6" t="s">
        <v>1842</v>
      </c>
      <c r="B126" s="6" t="s">
        <v>851</v>
      </c>
      <c r="C126" s="6" t="s">
        <v>1843</v>
      </c>
      <c r="D126" s="7" t="s">
        <v>1844</v>
      </c>
      <c r="E126" s="6" t="s">
        <v>943</v>
      </c>
      <c r="F126" s="6" t="s">
        <v>930</v>
      </c>
      <c r="G126" s="6" t="s">
        <v>1038</v>
      </c>
      <c r="H126" s="6" t="s">
        <v>954</v>
      </c>
      <c r="I126" s="6" t="n">
        <v>1000</v>
      </c>
      <c r="J126" s="6" t="s">
        <v>989</v>
      </c>
      <c r="K126" s="6" t="s">
        <v>956</v>
      </c>
      <c r="L126" s="7" t="s">
        <v>1845</v>
      </c>
      <c r="M126" s="6" t="n">
        <v>26</v>
      </c>
      <c r="N126" s="7" t="s">
        <v>1846</v>
      </c>
      <c r="O126" s="7" t="s">
        <v>1847</v>
      </c>
      <c r="P126" s="6" t="s">
        <v>425</v>
      </c>
      <c r="Q126" s="7" t="s">
        <v>425</v>
      </c>
      <c r="R126" s="6" t="s">
        <v>424</v>
      </c>
      <c r="S126" s="6" t="s">
        <v>936</v>
      </c>
      <c r="T126" s="6"/>
      <c r="U126" s="6"/>
      <c r="V126" s="6" t="s">
        <v>1848</v>
      </c>
      <c r="W126" s="6" t="s">
        <v>55</v>
      </c>
      <c r="X126" s="6" t="s">
        <v>938</v>
      </c>
      <c r="Y126" s="7" t="s">
        <v>1849</v>
      </c>
      <c r="Z126" s="6" t="s">
        <v>39</v>
      </c>
    </row>
    <row r="127" customFormat="false" ht="57" hidden="false" customHeight="true" outlineLevel="0" collapsed="false">
      <c r="A127" s="6" t="s">
        <v>1850</v>
      </c>
      <c r="B127" s="6" t="s">
        <v>534</v>
      </c>
      <c r="C127" s="6" t="s">
        <v>1851</v>
      </c>
      <c r="D127" s="7" t="s">
        <v>1852</v>
      </c>
      <c r="E127" s="6" t="s">
        <v>929</v>
      </c>
      <c r="F127" s="6" t="s">
        <v>944</v>
      </c>
      <c r="G127" s="6" t="s">
        <v>1853</v>
      </c>
      <c r="H127" s="6" t="s">
        <v>967</v>
      </c>
      <c r="I127" s="6"/>
      <c r="J127" s="6"/>
      <c r="K127" s="6"/>
      <c r="L127" s="7" t="s">
        <v>1854</v>
      </c>
      <c r="M127" s="6" t="n">
        <v>26</v>
      </c>
      <c r="N127" s="7" t="s">
        <v>1855</v>
      </c>
      <c r="O127" s="7" t="s">
        <v>1856</v>
      </c>
      <c r="P127" s="6" t="s">
        <v>536</v>
      </c>
      <c r="Q127" s="7" t="s">
        <v>536</v>
      </c>
      <c r="R127" s="6" t="s">
        <v>467</v>
      </c>
      <c r="S127" s="6" t="s">
        <v>960</v>
      </c>
      <c r="T127" s="6"/>
      <c r="U127" s="6" t="s">
        <v>1857</v>
      </c>
      <c r="V127" s="6" t="s">
        <v>1857</v>
      </c>
      <c r="W127" s="6" t="s">
        <v>65</v>
      </c>
      <c r="X127" s="6" t="s">
        <v>938</v>
      </c>
      <c r="Y127" s="7" t="s">
        <v>1858</v>
      </c>
      <c r="Z127" s="6" t="s">
        <v>39</v>
      </c>
    </row>
    <row r="128" customFormat="false" ht="45.75" hidden="false" customHeight="true" outlineLevel="0" collapsed="false">
      <c r="A128" s="6" t="s">
        <v>1859</v>
      </c>
      <c r="B128" s="6" t="s">
        <v>855</v>
      </c>
      <c r="C128" s="6" t="s">
        <v>1860</v>
      </c>
      <c r="D128" s="7" t="s">
        <v>1861</v>
      </c>
      <c r="E128" s="6" t="s">
        <v>943</v>
      </c>
      <c r="F128" s="6" t="s">
        <v>944</v>
      </c>
      <c r="G128" s="6" t="s">
        <v>945</v>
      </c>
      <c r="H128" s="6" t="s">
        <v>954</v>
      </c>
      <c r="I128" s="6"/>
      <c r="J128" s="6" t="s">
        <v>989</v>
      </c>
      <c r="K128" s="6" t="s">
        <v>956</v>
      </c>
      <c r="L128" s="7" t="s">
        <v>1862</v>
      </c>
      <c r="M128" s="6" t="n">
        <v>44</v>
      </c>
      <c r="N128" s="7" t="s">
        <v>1863</v>
      </c>
      <c r="O128" s="7"/>
      <c r="P128" s="6" t="s">
        <v>468</v>
      </c>
      <c r="Q128" s="7" t="s">
        <v>468</v>
      </c>
      <c r="R128" s="6" t="s">
        <v>467</v>
      </c>
      <c r="S128" s="6" t="s">
        <v>936</v>
      </c>
      <c r="T128" s="6"/>
      <c r="U128" s="6"/>
      <c r="V128" s="6" t="s">
        <v>1864</v>
      </c>
      <c r="W128" s="6" t="s">
        <v>55</v>
      </c>
      <c r="X128" s="6" t="s">
        <v>938</v>
      </c>
      <c r="Y128" s="7" t="s">
        <v>1865</v>
      </c>
      <c r="Z128" s="6" t="s">
        <v>39</v>
      </c>
    </row>
    <row r="129" customFormat="false" ht="45.75" hidden="false" customHeight="true" outlineLevel="0" collapsed="false">
      <c r="A129" s="6" t="s">
        <v>1866</v>
      </c>
      <c r="B129" s="6" t="s">
        <v>860</v>
      </c>
      <c r="C129" s="6" t="s">
        <v>1867</v>
      </c>
      <c r="D129" s="7" t="s">
        <v>1868</v>
      </c>
      <c r="E129" s="6" t="s">
        <v>943</v>
      </c>
      <c r="F129" s="6" t="s">
        <v>930</v>
      </c>
      <c r="G129" s="6" t="s">
        <v>945</v>
      </c>
      <c r="H129" s="6" t="s">
        <v>954</v>
      </c>
      <c r="I129" s="6" t="n">
        <v>500</v>
      </c>
      <c r="J129" s="6" t="s">
        <v>989</v>
      </c>
      <c r="K129" s="6" t="s">
        <v>956</v>
      </c>
      <c r="L129" s="7" t="s">
        <v>1869</v>
      </c>
      <c r="M129" s="6" t="n">
        <v>26</v>
      </c>
      <c r="N129" s="7" t="s">
        <v>1870</v>
      </c>
      <c r="O129" s="7" t="s">
        <v>1871</v>
      </c>
      <c r="P129" s="6" t="s">
        <v>655</v>
      </c>
      <c r="Q129" s="7" t="s">
        <v>655</v>
      </c>
      <c r="R129" s="6" t="s">
        <v>467</v>
      </c>
      <c r="S129" s="6" t="s">
        <v>960</v>
      </c>
      <c r="T129" s="6"/>
      <c r="U129" s="6" t="s">
        <v>1872</v>
      </c>
      <c r="V129" s="6" t="s">
        <v>1872</v>
      </c>
      <c r="W129" s="6" t="s">
        <v>65</v>
      </c>
      <c r="X129" s="6" t="s">
        <v>994</v>
      </c>
      <c r="Y129" s="7"/>
      <c r="Z129" s="6" t="s">
        <v>875</v>
      </c>
    </row>
    <row r="130" customFormat="false" ht="15" hidden="false" customHeight="false" outlineLevel="0" collapsed="false">
      <c r="A130" s="1" t="s">
        <v>1873</v>
      </c>
      <c r="B130" s="1" t="s">
        <v>868</v>
      </c>
      <c r="C130" s="1" t="s">
        <v>1874</v>
      </c>
      <c r="D130" s="1" t="s">
        <v>1875</v>
      </c>
      <c r="E130" s="8" t="s">
        <v>1006</v>
      </c>
      <c r="F130" s="8" t="s">
        <v>930</v>
      </c>
      <c r="G130" s="1" t="s">
        <v>1509</v>
      </c>
      <c r="H130" s="8" t="s">
        <v>954</v>
      </c>
      <c r="J130" s="1" t="s">
        <v>989</v>
      </c>
      <c r="K130" s="8" t="s">
        <v>956</v>
      </c>
      <c r="L130" s="1" t="s">
        <v>1876</v>
      </c>
      <c r="M130" s="1" t="n">
        <v>22</v>
      </c>
      <c r="N130" s="1" t="s">
        <v>1877</v>
      </c>
      <c r="O130" s="1" t="s">
        <v>1878</v>
      </c>
      <c r="Q130" s="1" t="s">
        <v>871</v>
      </c>
      <c r="R130" s="1" t="s">
        <v>870</v>
      </c>
      <c r="S130" s="8" t="s">
        <v>960</v>
      </c>
      <c r="V130" s="1" t="s">
        <v>1879</v>
      </c>
      <c r="W130" s="8" t="s">
        <v>55</v>
      </c>
      <c r="X130" s="8" t="s">
        <v>938</v>
      </c>
      <c r="Y130" s="1" t="s">
        <v>1880</v>
      </c>
      <c r="Z130" s="1" t="s">
        <v>875</v>
      </c>
    </row>
    <row r="131" customFormat="false" ht="15" hidden="false" customHeight="false" outlineLevel="0" collapsed="false">
      <c r="A131" s="1" t="s">
        <v>1881</v>
      </c>
      <c r="B131" s="1" t="s">
        <v>876</v>
      </c>
      <c r="C131" s="1" t="s">
        <v>1882</v>
      </c>
      <c r="D131" s="1" t="s">
        <v>1883</v>
      </c>
      <c r="E131" s="8" t="s">
        <v>1006</v>
      </c>
      <c r="F131" s="8" t="s">
        <v>930</v>
      </c>
      <c r="G131" s="1" t="s">
        <v>1509</v>
      </c>
      <c r="H131" s="8" t="s">
        <v>954</v>
      </c>
      <c r="J131" s="1" t="s">
        <v>989</v>
      </c>
      <c r="K131" s="8" t="s">
        <v>956</v>
      </c>
      <c r="L131" s="1" t="s">
        <v>1884</v>
      </c>
      <c r="M131" s="1" t="n">
        <v>26</v>
      </c>
      <c r="N131" s="1" t="s">
        <v>1885</v>
      </c>
      <c r="O131" s="1" t="s">
        <v>1886</v>
      </c>
      <c r="Q131" s="1" t="s">
        <v>879</v>
      </c>
      <c r="R131" s="1" t="s">
        <v>878</v>
      </c>
      <c r="S131" s="8" t="s">
        <v>960</v>
      </c>
      <c r="U131" s="1" t="s">
        <v>1887</v>
      </c>
      <c r="V131" s="1" t="s">
        <v>1887</v>
      </c>
      <c r="W131" s="8" t="s">
        <v>65</v>
      </c>
      <c r="X131" s="8" t="s">
        <v>938</v>
      </c>
      <c r="Y131" s="1" t="s">
        <v>1888</v>
      </c>
      <c r="Z131" s="1" t="s">
        <v>875</v>
      </c>
    </row>
    <row r="132" customFormat="false" ht="15" hidden="false" customHeight="false" outlineLevel="0" collapsed="false">
      <c r="A132" s="1" t="s">
        <v>1889</v>
      </c>
      <c r="B132" s="1" t="s">
        <v>881</v>
      </c>
      <c r="C132" s="1" t="s">
        <v>1890</v>
      </c>
      <c r="D132" s="1" t="s">
        <v>1891</v>
      </c>
      <c r="E132" s="8" t="s">
        <v>1006</v>
      </c>
      <c r="F132" s="8" t="s">
        <v>944</v>
      </c>
      <c r="G132" s="1" t="s">
        <v>1509</v>
      </c>
      <c r="H132" s="8" t="s">
        <v>954</v>
      </c>
      <c r="K132" s="8"/>
      <c r="L132" s="1" t="s">
        <v>1892</v>
      </c>
      <c r="N132" s="1" t="s">
        <v>37</v>
      </c>
      <c r="O132" s="1" t="s">
        <v>1893</v>
      </c>
      <c r="Q132" s="1" t="s">
        <v>884</v>
      </c>
      <c r="R132" s="1" t="s">
        <v>883</v>
      </c>
      <c r="S132" s="8" t="s">
        <v>960</v>
      </c>
      <c r="U132" s="1" t="s">
        <v>1894</v>
      </c>
      <c r="V132" s="1" t="s">
        <v>1894</v>
      </c>
      <c r="W132" s="8" t="s">
        <v>65</v>
      </c>
      <c r="X132" s="8" t="s">
        <v>938</v>
      </c>
      <c r="Y132" s="1" t="s">
        <v>1895</v>
      </c>
      <c r="Z132" s="1" t="s">
        <v>875</v>
      </c>
    </row>
    <row r="133" customFormat="false" ht="15" hidden="false" customHeight="false" outlineLevel="0" collapsed="false">
      <c r="A133" s="1" t="s">
        <v>1896</v>
      </c>
      <c r="B133" s="1" t="s">
        <v>886</v>
      </c>
      <c r="C133" s="1" t="s">
        <v>1897</v>
      </c>
      <c r="D133" s="1" t="s">
        <v>1898</v>
      </c>
      <c r="E133" s="8" t="s">
        <v>1006</v>
      </c>
      <c r="F133" s="8" t="s">
        <v>944</v>
      </c>
      <c r="G133" s="1" t="s">
        <v>1509</v>
      </c>
      <c r="H133" s="8" t="s">
        <v>954</v>
      </c>
      <c r="K133" s="8"/>
      <c r="L133" s="1" t="s">
        <v>1892</v>
      </c>
      <c r="N133" s="1" t="s">
        <v>37</v>
      </c>
      <c r="O133" s="1" t="s">
        <v>1899</v>
      </c>
      <c r="Q133" s="1" t="s">
        <v>889</v>
      </c>
      <c r="R133" s="1" t="s">
        <v>888</v>
      </c>
      <c r="S133" s="8" t="s">
        <v>960</v>
      </c>
      <c r="U133" s="1" t="s">
        <v>1900</v>
      </c>
      <c r="V133" s="1" t="s">
        <v>1900</v>
      </c>
      <c r="W133" s="8" t="s">
        <v>65</v>
      </c>
      <c r="X133" s="8" t="s">
        <v>938</v>
      </c>
      <c r="Y133" s="1" t="s">
        <v>1505</v>
      </c>
      <c r="Z133" s="1" t="s">
        <v>875</v>
      </c>
    </row>
    <row r="134" customFormat="false" ht="15" hidden="false" customHeight="false" outlineLevel="0" collapsed="false">
      <c r="A134" s="1" t="s">
        <v>1901</v>
      </c>
      <c r="B134" s="1" t="s">
        <v>891</v>
      </c>
      <c r="C134" s="1" t="s">
        <v>1902</v>
      </c>
      <c r="D134" s="1" t="s">
        <v>1903</v>
      </c>
      <c r="E134" s="8" t="s">
        <v>1006</v>
      </c>
      <c r="F134" s="8" t="s">
        <v>930</v>
      </c>
      <c r="G134" s="1" t="s">
        <v>1509</v>
      </c>
      <c r="H134" s="8" t="s">
        <v>954</v>
      </c>
      <c r="K134" s="8"/>
      <c r="L134" s="1" t="s">
        <v>1892</v>
      </c>
      <c r="N134" s="1" t="s">
        <v>37</v>
      </c>
      <c r="O134" s="1" t="s">
        <v>1904</v>
      </c>
      <c r="Q134" s="1" t="s">
        <v>894</v>
      </c>
      <c r="R134" s="1" t="s">
        <v>893</v>
      </c>
      <c r="S134" s="8" t="s">
        <v>960</v>
      </c>
      <c r="U134" s="1" t="s">
        <v>1905</v>
      </c>
      <c r="V134" s="1" t="s">
        <v>1905</v>
      </c>
      <c r="W134" s="8" t="s">
        <v>65</v>
      </c>
      <c r="X134" s="8" t="s">
        <v>938</v>
      </c>
      <c r="Y134" s="1" t="s">
        <v>1906</v>
      </c>
      <c r="Z134" s="1" t="s">
        <v>875</v>
      </c>
    </row>
    <row r="135" customFormat="false" ht="15" hidden="false" customHeight="false" outlineLevel="0" collapsed="false">
      <c r="A135" s="1" t="s">
        <v>1907</v>
      </c>
      <c r="B135" s="1" t="s">
        <v>896</v>
      </c>
      <c r="C135" s="1" t="s">
        <v>1908</v>
      </c>
      <c r="D135" s="1" t="s">
        <v>1909</v>
      </c>
      <c r="E135" s="8" t="s">
        <v>1006</v>
      </c>
      <c r="F135" s="8" t="s">
        <v>930</v>
      </c>
      <c r="G135" s="1" t="s">
        <v>1509</v>
      </c>
      <c r="H135" s="8" t="s">
        <v>954</v>
      </c>
      <c r="K135" s="8"/>
      <c r="L135" s="1" t="s">
        <v>1910</v>
      </c>
      <c r="N135" s="1" t="s">
        <v>37</v>
      </c>
      <c r="O135" s="1" t="s">
        <v>1911</v>
      </c>
      <c r="P135" s="1" t="s">
        <v>898</v>
      </c>
      <c r="Q135" s="1" t="s">
        <v>898</v>
      </c>
      <c r="R135" s="1" t="s">
        <v>386</v>
      </c>
      <c r="S135" s="8" t="s">
        <v>960</v>
      </c>
      <c r="U135" s="1" t="s">
        <v>1905</v>
      </c>
      <c r="V135" s="1" t="s">
        <v>1905</v>
      </c>
      <c r="W135" s="8" t="s">
        <v>65</v>
      </c>
      <c r="X135" s="8" t="s">
        <v>1429</v>
      </c>
      <c r="Y135" s="1" t="s">
        <v>1912</v>
      </c>
      <c r="Z135" s="1" t="s">
        <v>875</v>
      </c>
    </row>
    <row r="136" customFormat="false" ht="15" hidden="false" customHeight="false" outlineLevel="0" collapsed="false">
      <c r="A136" s="1" t="s">
        <v>1913</v>
      </c>
      <c r="B136" s="1" t="s">
        <v>900</v>
      </c>
      <c r="C136" s="1" t="s">
        <v>1914</v>
      </c>
      <c r="D136" s="1" t="s">
        <v>1915</v>
      </c>
      <c r="E136" s="8" t="s">
        <v>1006</v>
      </c>
      <c r="F136" s="8" t="s">
        <v>1270</v>
      </c>
      <c r="G136" s="1" t="s">
        <v>1509</v>
      </c>
      <c r="H136" s="8" t="s">
        <v>954</v>
      </c>
      <c r="K136" s="8"/>
      <c r="L136" s="1" t="s">
        <v>1910</v>
      </c>
      <c r="N136" s="1" t="s">
        <v>37</v>
      </c>
      <c r="O136" s="1" t="s">
        <v>1916</v>
      </c>
      <c r="P136" s="1" t="s">
        <v>898</v>
      </c>
      <c r="Q136" s="1" t="s">
        <v>898</v>
      </c>
      <c r="R136" s="1" t="s">
        <v>386</v>
      </c>
      <c r="S136" s="8" t="s">
        <v>960</v>
      </c>
      <c r="U136" s="1" t="s">
        <v>1905</v>
      </c>
      <c r="V136" s="1" t="s">
        <v>1905</v>
      </c>
      <c r="W136" s="8" t="s">
        <v>65</v>
      </c>
      <c r="X136" s="8" t="s">
        <v>1429</v>
      </c>
      <c r="Y136" s="1" t="s">
        <v>1912</v>
      </c>
      <c r="Z136" s="1" t="s">
        <v>875</v>
      </c>
    </row>
    <row r="137" customFormat="false" ht="15" hidden="false" customHeight="false" outlineLevel="0" collapsed="false">
      <c r="E137" s="8"/>
      <c r="F137" s="8"/>
      <c r="H137" s="8"/>
      <c r="K137" s="8"/>
      <c r="S137" s="8"/>
      <c r="W137" s="8"/>
      <c r="X137" s="8"/>
    </row>
    <row r="138" customFormat="false" ht="15" hidden="false" customHeight="false" outlineLevel="0" collapsed="false">
      <c r="E138" s="8"/>
      <c r="F138" s="8"/>
      <c r="H138" s="8"/>
      <c r="K138" s="8"/>
      <c r="S138" s="8"/>
      <c r="W138" s="8"/>
      <c r="X138" s="8"/>
    </row>
    <row r="139" customFormat="false" ht="15" hidden="false" customHeight="false" outlineLevel="0" collapsed="false">
      <c r="E139" s="8"/>
      <c r="F139" s="8"/>
      <c r="H139" s="8"/>
      <c r="K139" s="8"/>
      <c r="S139" s="8"/>
      <c r="W139" s="8"/>
      <c r="X139" s="8"/>
    </row>
    <row r="140" customFormat="false" ht="15" hidden="false" customHeight="false" outlineLevel="0" collapsed="false">
      <c r="E140" s="8"/>
      <c r="F140" s="8"/>
      <c r="H140" s="8"/>
      <c r="K140" s="8"/>
      <c r="S140" s="8"/>
      <c r="W140" s="8"/>
      <c r="X140" s="8"/>
    </row>
    <row r="141" customFormat="false" ht="15" hidden="false" customHeight="false" outlineLevel="0" collapsed="false">
      <c r="E141" s="8"/>
      <c r="F141" s="8"/>
      <c r="H141" s="8"/>
      <c r="K141" s="8"/>
      <c r="S141" s="8"/>
      <c r="W141" s="8"/>
      <c r="X141" s="8"/>
    </row>
    <row r="142" customFormat="false" ht="15" hidden="false" customHeight="false" outlineLevel="0" collapsed="false">
      <c r="E142" s="8"/>
      <c r="F142" s="8"/>
      <c r="H142" s="8"/>
      <c r="K142" s="8"/>
      <c r="S142" s="8"/>
      <c r="W142" s="8"/>
      <c r="X142" s="8"/>
    </row>
    <row r="143" customFormat="false" ht="15" hidden="false" customHeight="false" outlineLevel="0" collapsed="false">
      <c r="E143" s="8"/>
      <c r="F143" s="8"/>
      <c r="H143" s="8"/>
      <c r="K143" s="8"/>
      <c r="S143" s="8"/>
      <c r="W143" s="8"/>
      <c r="X143" s="8"/>
    </row>
    <row r="144" customFormat="false" ht="15" hidden="false" customHeight="false" outlineLevel="0" collapsed="false">
      <c r="E144" s="8"/>
      <c r="F144" s="8"/>
      <c r="H144" s="8"/>
      <c r="K144" s="8"/>
      <c r="S144" s="8"/>
      <c r="W144" s="8"/>
      <c r="X144" s="8"/>
    </row>
    <row r="145" customFormat="false" ht="15" hidden="false" customHeight="false" outlineLevel="0" collapsed="false">
      <c r="E145" s="8"/>
      <c r="F145" s="8"/>
      <c r="H145" s="8"/>
      <c r="K145" s="8"/>
      <c r="S145" s="8"/>
      <c r="W145" s="8"/>
      <c r="X145" s="8"/>
    </row>
    <row r="146" customFormat="false" ht="15" hidden="false" customHeight="false" outlineLevel="0" collapsed="false">
      <c r="E146" s="8"/>
      <c r="F146" s="8"/>
      <c r="H146" s="8"/>
      <c r="K146" s="8"/>
      <c r="S146" s="8"/>
      <c r="W146" s="8"/>
      <c r="X146" s="8"/>
    </row>
    <row r="147" customFormat="false" ht="15" hidden="false" customHeight="false" outlineLevel="0" collapsed="false">
      <c r="E147" s="8"/>
      <c r="F147" s="8"/>
      <c r="H147" s="8"/>
      <c r="K147" s="8"/>
      <c r="S147" s="8"/>
      <c r="W147" s="8"/>
      <c r="X147" s="8"/>
    </row>
    <row r="148" customFormat="false" ht="15" hidden="false" customHeight="false" outlineLevel="0" collapsed="false">
      <c r="E148" s="8"/>
      <c r="F148" s="8"/>
      <c r="H148" s="8"/>
      <c r="K148" s="8"/>
      <c r="S148" s="8"/>
      <c r="W148" s="8"/>
      <c r="X148" s="8"/>
    </row>
    <row r="149" customFormat="false" ht="15" hidden="false" customHeight="false" outlineLevel="0" collapsed="false">
      <c r="E149" s="8"/>
      <c r="F149" s="8"/>
      <c r="H149" s="8"/>
      <c r="K149" s="8"/>
      <c r="S149" s="8"/>
      <c r="W149" s="8"/>
      <c r="X149" s="8"/>
    </row>
    <row r="150" customFormat="false" ht="15" hidden="false" customHeight="false" outlineLevel="0" collapsed="false">
      <c r="E150" s="8"/>
      <c r="F150" s="8"/>
      <c r="H150" s="8"/>
      <c r="K150" s="8"/>
      <c r="S150" s="8"/>
      <c r="W150" s="8"/>
      <c r="X150" s="8"/>
    </row>
    <row r="151" customFormat="false" ht="15" hidden="false" customHeight="false" outlineLevel="0" collapsed="false">
      <c r="E151" s="8"/>
      <c r="F151" s="8"/>
      <c r="H151" s="8"/>
      <c r="K151" s="8"/>
      <c r="S151" s="8"/>
      <c r="W151" s="8"/>
      <c r="X151" s="8"/>
    </row>
    <row r="152" customFormat="false" ht="15" hidden="false" customHeight="false" outlineLevel="0" collapsed="false">
      <c r="E152" s="8"/>
      <c r="F152" s="8"/>
      <c r="H152" s="8"/>
      <c r="K152" s="8"/>
      <c r="S152" s="8"/>
      <c r="W152" s="8"/>
      <c r="X152" s="8"/>
    </row>
    <row r="153" customFormat="false" ht="15" hidden="false" customHeight="false" outlineLevel="0" collapsed="false">
      <c r="E153" s="8"/>
      <c r="F153" s="8"/>
      <c r="H153" s="8"/>
      <c r="K153" s="8"/>
      <c r="S153" s="8"/>
      <c r="W153" s="8"/>
      <c r="X153" s="8"/>
    </row>
    <row r="154" customFormat="false" ht="15" hidden="false" customHeight="false" outlineLevel="0" collapsed="false">
      <c r="E154" s="8"/>
      <c r="F154" s="8"/>
      <c r="H154" s="8"/>
      <c r="K154" s="8"/>
      <c r="S154" s="8"/>
      <c r="W154" s="8"/>
      <c r="X154" s="8"/>
    </row>
    <row r="155" customFormat="false" ht="15" hidden="false" customHeight="false" outlineLevel="0" collapsed="false">
      <c r="E155" s="8"/>
      <c r="F155" s="8"/>
      <c r="H155" s="8"/>
      <c r="K155" s="8"/>
      <c r="S155" s="8"/>
      <c r="W155" s="8"/>
      <c r="X155" s="8"/>
    </row>
    <row r="156" customFormat="false" ht="15" hidden="false" customHeight="false" outlineLevel="0" collapsed="false">
      <c r="E156" s="8"/>
      <c r="F156" s="8"/>
      <c r="H156" s="8"/>
      <c r="K156" s="8"/>
      <c r="S156" s="8"/>
      <c r="W156" s="8"/>
      <c r="X156" s="8"/>
    </row>
    <row r="157" customFormat="false" ht="15" hidden="false" customHeight="false" outlineLevel="0" collapsed="false">
      <c r="E157" s="8"/>
      <c r="F157" s="8"/>
      <c r="H157" s="8"/>
      <c r="K157" s="8"/>
      <c r="S157" s="8"/>
      <c r="W157" s="8"/>
      <c r="X157" s="8"/>
    </row>
    <row r="158" customFormat="false" ht="15" hidden="false" customHeight="false" outlineLevel="0" collapsed="false">
      <c r="E158" s="8"/>
      <c r="F158" s="8"/>
      <c r="H158" s="8"/>
      <c r="K158" s="8"/>
      <c r="S158" s="8"/>
      <c r="W158" s="8"/>
      <c r="X158" s="8"/>
    </row>
    <row r="159" customFormat="false" ht="15" hidden="false" customHeight="false" outlineLevel="0" collapsed="false">
      <c r="E159" s="8"/>
      <c r="F159" s="8"/>
      <c r="H159" s="8"/>
      <c r="K159" s="8"/>
      <c r="S159" s="8"/>
      <c r="W159" s="8"/>
      <c r="X159" s="8"/>
    </row>
    <row r="160" customFormat="false" ht="15" hidden="false" customHeight="false" outlineLevel="0" collapsed="false">
      <c r="E160" s="8"/>
      <c r="F160" s="8"/>
      <c r="H160" s="8"/>
      <c r="K160" s="8"/>
      <c r="S160" s="8"/>
      <c r="W160" s="8"/>
      <c r="X160" s="8"/>
    </row>
    <row r="161" customFormat="false" ht="15" hidden="false" customHeight="false" outlineLevel="0" collapsed="false">
      <c r="E161" s="8"/>
      <c r="F161" s="8"/>
      <c r="H161" s="8"/>
      <c r="K161" s="8"/>
      <c r="S161" s="8"/>
      <c r="W161" s="8"/>
      <c r="X161" s="8"/>
    </row>
    <row r="162" customFormat="false" ht="15" hidden="false" customHeight="false" outlineLevel="0" collapsed="false">
      <c r="E162" s="8"/>
      <c r="F162" s="8"/>
      <c r="H162" s="8"/>
      <c r="K162" s="8"/>
      <c r="S162" s="8"/>
      <c r="W162" s="8"/>
      <c r="X162" s="8"/>
    </row>
    <row r="163" customFormat="false" ht="15" hidden="false" customHeight="false" outlineLevel="0" collapsed="false">
      <c r="E163" s="8"/>
      <c r="F163" s="8"/>
      <c r="H163" s="8"/>
      <c r="K163" s="8"/>
      <c r="S163" s="8"/>
      <c r="W163" s="8"/>
      <c r="X163" s="8"/>
    </row>
    <row r="164" customFormat="false" ht="15" hidden="false" customHeight="false" outlineLevel="0" collapsed="false">
      <c r="E164" s="8"/>
      <c r="F164" s="8"/>
      <c r="H164" s="8"/>
      <c r="K164" s="8"/>
      <c r="S164" s="8"/>
      <c r="W164" s="8"/>
      <c r="X164" s="8"/>
    </row>
    <row r="165" customFormat="false" ht="15" hidden="false" customHeight="false" outlineLevel="0" collapsed="false">
      <c r="E165" s="8"/>
      <c r="F165" s="8"/>
      <c r="H165" s="8"/>
      <c r="K165" s="8"/>
      <c r="S165" s="8"/>
      <c r="W165" s="8"/>
      <c r="X165" s="8"/>
    </row>
    <row r="166" customFormat="false" ht="15" hidden="false" customHeight="false" outlineLevel="0" collapsed="false">
      <c r="E166" s="8"/>
      <c r="F166" s="8"/>
      <c r="H166" s="8"/>
      <c r="K166" s="8"/>
      <c r="S166" s="8"/>
      <c r="W166" s="8"/>
      <c r="X166" s="8"/>
    </row>
    <row r="167" customFormat="false" ht="15" hidden="false" customHeight="false" outlineLevel="0" collapsed="false">
      <c r="E167" s="8"/>
      <c r="F167" s="8"/>
      <c r="H167" s="8"/>
      <c r="K167" s="8"/>
      <c r="S167" s="8"/>
      <c r="W167" s="8"/>
      <c r="X167" s="8"/>
    </row>
    <row r="168" customFormat="false" ht="15" hidden="false" customHeight="false" outlineLevel="0" collapsed="false">
      <c r="E168" s="8"/>
      <c r="F168" s="8"/>
      <c r="H168" s="8"/>
      <c r="K168" s="8"/>
      <c r="S168" s="8"/>
      <c r="W168" s="8"/>
      <c r="X168" s="8"/>
    </row>
    <row r="169" customFormat="false" ht="15" hidden="false" customHeight="false" outlineLevel="0" collapsed="false">
      <c r="E169" s="8"/>
      <c r="F169" s="8"/>
      <c r="H169" s="8"/>
      <c r="K169" s="8"/>
      <c r="S169" s="8"/>
      <c r="W169" s="8"/>
      <c r="X169" s="8"/>
    </row>
    <row r="170" customFormat="false" ht="15" hidden="false" customHeight="false" outlineLevel="0" collapsed="false">
      <c r="E170" s="8"/>
      <c r="F170" s="8"/>
      <c r="H170" s="8"/>
      <c r="K170" s="8"/>
      <c r="S170" s="8"/>
      <c r="W170" s="8"/>
      <c r="X170" s="8"/>
    </row>
    <row r="171" customFormat="false" ht="15" hidden="false" customHeight="false" outlineLevel="0" collapsed="false">
      <c r="E171" s="8"/>
      <c r="F171" s="8"/>
      <c r="H171" s="8"/>
      <c r="K171" s="8"/>
      <c r="S171" s="8"/>
      <c r="W171" s="8"/>
      <c r="X171" s="8"/>
    </row>
    <row r="172" customFormat="false" ht="15" hidden="false" customHeight="false" outlineLevel="0" collapsed="false">
      <c r="E172" s="8"/>
      <c r="F172" s="8"/>
      <c r="H172" s="8"/>
      <c r="K172" s="8"/>
      <c r="S172" s="8"/>
      <c r="W172" s="8"/>
      <c r="X172" s="8"/>
    </row>
    <row r="173" customFormat="false" ht="15" hidden="false" customHeight="false" outlineLevel="0" collapsed="false">
      <c r="E173" s="8"/>
      <c r="F173" s="8"/>
      <c r="H173" s="8"/>
      <c r="K173" s="8"/>
      <c r="S173" s="8"/>
      <c r="W173" s="8"/>
      <c r="X173" s="8"/>
    </row>
    <row r="174" customFormat="false" ht="15" hidden="false" customHeight="false" outlineLevel="0" collapsed="false">
      <c r="E174" s="8"/>
      <c r="F174" s="8"/>
      <c r="H174" s="8"/>
      <c r="K174" s="8"/>
      <c r="S174" s="8"/>
      <c r="W174" s="8"/>
      <c r="X174" s="8"/>
    </row>
    <row r="175" customFormat="false" ht="15" hidden="false" customHeight="false" outlineLevel="0" collapsed="false">
      <c r="E175" s="8"/>
      <c r="F175" s="8"/>
      <c r="H175" s="8"/>
      <c r="K175" s="8"/>
      <c r="S175" s="8"/>
      <c r="W175" s="8"/>
      <c r="X175" s="8"/>
    </row>
    <row r="176" customFormat="false" ht="15" hidden="false" customHeight="false" outlineLevel="0" collapsed="false">
      <c r="E176" s="8"/>
      <c r="F176" s="8"/>
      <c r="H176" s="8"/>
      <c r="K176" s="8"/>
      <c r="S176" s="8"/>
      <c r="W176" s="8"/>
      <c r="X176" s="8"/>
    </row>
    <row r="177" customFormat="false" ht="15" hidden="false" customHeight="false" outlineLevel="0" collapsed="false">
      <c r="E177" s="8"/>
      <c r="F177" s="8"/>
      <c r="H177" s="8"/>
      <c r="K177" s="8"/>
      <c r="S177" s="8"/>
      <c r="W177" s="8"/>
      <c r="X177" s="8"/>
    </row>
    <row r="178" customFormat="false" ht="15" hidden="false" customHeight="false" outlineLevel="0" collapsed="false">
      <c r="E178" s="8"/>
      <c r="F178" s="8"/>
      <c r="H178" s="8"/>
      <c r="K178" s="8"/>
      <c r="S178" s="8"/>
      <c r="W178" s="8"/>
      <c r="X178" s="8"/>
    </row>
    <row r="179" customFormat="false" ht="15" hidden="false" customHeight="false" outlineLevel="0" collapsed="false">
      <c r="E179" s="8"/>
      <c r="F179" s="8"/>
      <c r="H179" s="8"/>
      <c r="K179" s="8"/>
      <c r="S179" s="8"/>
      <c r="W179" s="8"/>
      <c r="X179" s="8"/>
    </row>
    <row r="180" customFormat="false" ht="15" hidden="false" customHeight="false" outlineLevel="0" collapsed="false">
      <c r="E180" s="8"/>
      <c r="F180" s="8"/>
      <c r="H180" s="8"/>
      <c r="K180" s="8"/>
      <c r="S180" s="8"/>
      <c r="W180" s="8"/>
      <c r="X180" s="8"/>
    </row>
    <row r="181" customFormat="false" ht="15" hidden="false" customHeight="false" outlineLevel="0" collapsed="false">
      <c r="E181" s="8"/>
      <c r="F181" s="8"/>
      <c r="H181" s="8"/>
      <c r="K181" s="8"/>
      <c r="S181" s="8"/>
      <c r="W181" s="8"/>
      <c r="X181" s="8"/>
    </row>
    <row r="182" customFormat="false" ht="15" hidden="false" customHeight="false" outlineLevel="0" collapsed="false">
      <c r="E182" s="8"/>
      <c r="F182" s="8"/>
      <c r="H182" s="8"/>
      <c r="K182" s="8"/>
      <c r="S182" s="8"/>
      <c r="W182" s="8"/>
      <c r="X182" s="8"/>
    </row>
    <row r="183" customFormat="false" ht="15" hidden="false" customHeight="false" outlineLevel="0" collapsed="false">
      <c r="E183" s="8"/>
      <c r="F183" s="8"/>
      <c r="H183" s="8"/>
      <c r="K183" s="8"/>
      <c r="S183" s="8"/>
      <c r="W183" s="8"/>
      <c r="X183" s="8"/>
    </row>
    <row r="184" customFormat="false" ht="15" hidden="false" customHeight="false" outlineLevel="0" collapsed="false">
      <c r="E184" s="8"/>
      <c r="F184" s="8"/>
      <c r="H184" s="8"/>
      <c r="K184" s="8"/>
      <c r="S184" s="8"/>
      <c r="W184" s="8"/>
      <c r="X184" s="8"/>
    </row>
    <row r="185" customFormat="false" ht="15" hidden="false" customHeight="false" outlineLevel="0" collapsed="false">
      <c r="E185" s="8"/>
      <c r="F185" s="8"/>
      <c r="H185" s="8"/>
      <c r="K185" s="8"/>
      <c r="S185" s="8"/>
      <c r="W185" s="8"/>
      <c r="X185" s="8"/>
    </row>
    <row r="186" customFormat="false" ht="15" hidden="false" customHeight="false" outlineLevel="0" collapsed="false">
      <c r="E186" s="8"/>
      <c r="F186" s="8"/>
      <c r="H186" s="8"/>
      <c r="K186" s="8"/>
      <c r="S186" s="8"/>
      <c r="W186" s="8"/>
      <c r="X186" s="8"/>
    </row>
    <row r="187" customFormat="false" ht="15" hidden="false" customHeight="false" outlineLevel="0" collapsed="false">
      <c r="E187" s="8"/>
      <c r="F187" s="8"/>
      <c r="H187" s="8"/>
      <c r="K187" s="8"/>
      <c r="S187" s="8"/>
      <c r="W187" s="8"/>
      <c r="X187" s="8"/>
    </row>
    <row r="188" customFormat="false" ht="15" hidden="false" customHeight="false" outlineLevel="0" collapsed="false">
      <c r="E188" s="8"/>
      <c r="F188" s="8"/>
      <c r="H188" s="8"/>
      <c r="K188" s="8"/>
      <c r="S188" s="8"/>
      <c r="W188" s="8"/>
      <c r="X188" s="8"/>
    </row>
    <row r="189" customFormat="false" ht="15" hidden="false" customHeight="false" outlineLevel="0" collapsed="false">
      <c r="E189" s="8"/>
      <c r="F189" s="8"/>
      <c r="H189" s="8"/>
      <c r="K189" s="8"/>
      <c r="S189" s="8"/>
      <c r="W189" s="8"/>
      <c r="X189" s="8"/>
    </row>
    <row r="190" customFormat="false" ht="15" hidden="false" customHeight="false" outlineLevel="0" collapsed="false">
      <c r="E190" s="8"/>
      <c r="F190" s="8"/>
      <c r="H190" s="8"/>
      <c r="K190" s="8"/>
      <c r="S190" s="8"/>
      <c r="W190" s="8"/>
      <c r="X190" s="8"/>
    </row>
    <row r="191" customFormat="false" ht="15" hidden="false" customHeight="false" outlineLevel="0" collapsed="false">
      <c r="E191" s="8"/>
      <c r="F191" s="8"/>
      <c r="H191" s="8"/>
      <c r="K191" s="8"/>
      <c r="S191" s="8"/>
      <c r="W191" s="8"/>
      <c r="X191" s="8"/>
    </row>
    <row r="192" customFormat="false" ht="15" hidden="false" customHeight="false" outlineLevel="0" collapsed="false">
      <c r="E192" s="8"/>
      <c r="F192" s="8"/>
      <c r="H192" s="8"/>
      <c r="K192" s="8"/>
      <c r="S192" s="8"/>
      <c r="W192" s="8"/>
      <c r="X192" s="8"/>
    </row>
    <row r="193" customFormat="false" ht="15" hidden="false" customHeight="false" outlineLevel="0" collapsed="false">
      <c r="E193" s="8"/>
      <c r="F193" s="8"/>
      <c r="H193" s="8"/>
      <c r="K193" s="8"/>
      <c r="S193" s="8"/>
      <c r="W193" s="8"/>
      <c r="X193" s="8"/>
    </row>
    <row r="194" customFormat="false" ht="15" hidden="false" customHeight="false" outlineLevel="0" collapsed="false">
      <c r="E194" s="8"/>
      <c r="F194" s="8"/>
      <c r="H194" s="8"/>
      <c r="K194" s="8"/>
      <c r="S194" s="8"/>
      <c r="W194" s="8"/>
      <c r="X194" s="8"/>
    </row>
    <row r="195" customFormat="false" ht="15" hidden="false" customHeight="false" outlineLevel="0" collapsed="false">
      <c r="E195" s="8"/>
      <c r="F195" s="8"/>
      <c r="H195" s="8"/>
      <c r="K195" s="8"/>
      <c r="S195" s="8"/>
      <c r="W195" s="8"/>
      <c r="X195" s="8"/>
    </row>
    <row r="196" customFormat="false" ht="15" hidden="false" customHeight="false" outlineLevel="0" collapsed="false">
      <c r="E196" s="8"/>
      <c r="F196" s="8"/>
      <c r="H196" s="8"/>
      <c r="K196" s="8"/>
      <c r="S196" s="8"/>
      <c r="W196" s="8"/>
      <c r="X196" s="8"/>
    </row>
    <row r="197" customFormat="false" ht="15" hidden="false" customHeight="false" outlineLevel="0" collapsed="false">
      <c r="E197" s="8"/>
      <c r="F197" s="8"/>
      <c r="H197" s="8"/>
      <c r="K197" s="8"/>
      <c r="S197" s="8"/>
      <c r="W197" s="8"/>
      <c r="X197" s="8"/>
    </row>
    <row r="198" customFormat="false" ht="15" hidden="false" customHeight="false" outlineLevel="0" collapsed="false">
      <c r="E198" s="8"/>
      <c r="F198" s="8"/>
      <c r="H198" s="8"/>
      <c r="K198" s="8"/>
      <c r="S198" s="8"/>
      <c r="W198" s="8"/>
      <c r="X198" s="8"/>
    </row>
    <row r="199" customFormat="false" ht="15" hidden="false" customHeight="false" outlineLevel="0" collapsed="false">
      <c r="E199" s="8"/>
      <c r="F199" s="8"/>
      <c r="H199" s="8"/>
      <c r="K199" s="8"/>
      <c r="S199" s="8"/>
      <c r="W199" s="8"/>
      <c r="X199" s="8"/>
    </row>
    <row r="200" customFormat="false" ht="15" hidden="false" customHeight="false" outlineLevel="0" collapsed="false">
      <c r="E200" s="8"/>
      <c r="F200" s="8"/>
      <c r="H200" s="8"/>
      <c r="K200" s="8"/>
      <c r="S200" s="8"/>
      <c r="W200" s="8"/>
      <c r="X200" s="8"/>
    </row>
    <row r="201" customFormat="false" ht="15" hidden="false" customHeight="false" outlineLevel="0" collapsed="false">
      <c r="E201" s="8"/>
      <c r="F201" s="8"/>
      <c r="H201" s="8"/>
      <c r="K201" s="8"/>
      <c r="S201" s="8"/>
      <c r="W201" s="8"/>
      <c r="X201" s="8"/>
    </row>
    <row r="202" customFormat="false" ht="15" hidden="false" customHeight="false" outlineLevel="0" collapsed="false">
      <c r="E202" s="8"/>
      <c r="F202" s="8"/>
      <c r="H202" s="8"/>
      <c r="K202" s="8"/>
      <c r="S202" s="8"/>
      <c r="W202" s="8"/>
      <c r="X202" s="8"/>
    </row>
    <row r="203" customFormat="false" ht="15" hidden="false" customHeight="false" outlineLevel="0" collapsed="false">
      <c r="E203" s="8"/>
      <c r="F203" s="8"/>
      <c r="H203" s="8"/>
      <c r="K203" s="8"/>
      <c r="S203" s="8"/>
      <c r="W203" s="8"/>
      <c r="X203" s="8"/>
    </row>
    <row r="204" customFormat="false" ht="15" hidden="false" customHeight="false" outlineLevel="0" collapsed="false">
      <c r="E204" s="8"/>
      <c r="F204" s="8"/>
      <c r="H204" s="8"/>
      <c r="K204" s="8"/>
      <c r="S204" s="8"/>
      <c r="W204" s="8"/>
      <c r="X204" s="8"/>
    </row>
    <row r="205" customFormat="false" ht="15" hidden="false" customHeight="false" outlineLevel="0" collapsed="false">
      <c r="E205" s="8"/>
      <c r="F205" s="8"/>
      <c r="H205" s="8"/>
      <c r="K205" s="8"/>
      <c r="S205" s="8"/>
      <c r="W205" s="8"/>
      <c r="X205" s="8"/>
    </row>
    <row r="206" customFormat="false" ht="15" hidden="false" customHeight="false" outlineLevel="0" collapsed="false">
      <c r="E206" s="8"/>
      <c r="F206" s="8"/>
      <c r="H206" s="8"/>
      <c r="K206" s="8"/>
      <c r="S206" s="8"/>
      <c r="W206" s="8"/>
      <c r="X206" s="8"/>
    </row>
    <row r="207" customFormat="false" ht="15" hidden="false" customHeight="false" outlineLevel="0" collapsed="false">
      <c r="E207" s="8"/>
      <c r="F207" s="8"/>
      <c r="H207" s="8"/>
      <c r="K207" s="8"/>
      <c r="S207" s="8"/>
      <c r="W207" s="8"/>
      <c r="X207" s="8"/>
    </row>
    <row r="208" customFormat="false" ht="15" hidden="false" customHeight="false" outlineLevel="0" collapsed="false">
      <c r="E208" s="8"/>
      <c r="F208" s="8"/>
      <c r="H208" s="8"/>
      <c r="K208" s="8"/>
      <c r="S208" s="8"/>
      <c r="W208" s="8"/>
      <c r="X208" s="8"/>
    </row>
    <row r="209" customFormat="false" ht="15" hidden="false" customHeight="false" outlineLevel="0" collapsed="false">
      <c r="E209" s="8"/>
      <c r="F209" s="8"/>
      <c r="H209" s="8"/>
      <c r="K209" s="8"/>
      <c r="S209" s="8"/>
      <c r="W209" s="8"/>
      <c r="X209" s="8"/>
    </row>
    <row r="210" customFormat="false" ht="15" hidden="false" customHeight="false" outlineLevel="0" collapsed="false">
      <c r="E210" s="8"/>
      <c r="F210" s="8"/>
      <c r="H210" s="8"/>
      <c r="K210" s="8"/>
      <c r="S210" s="8"/>
      <c r="W210" s="8"/>
      <c r="X210" s="8"/>
    </row>
    <row r="211" customFormat="false" ht="15" hidden="false" customHeight="false" outlineLevel="0" collapsed="false">
      <c r="E211" s="8"/>
      <c r="F211" s="8"/>
      <c r="H211" s="8"/>
      <c r="K211" s="8"/>
      <c r="S211" s="8"/>
      <c r="W211" s="8"/>
      <c r="X211" s="8"/>
    </row>
    <row r="212" customFormat="false" ht="15" hidden="false" customHeight="false" outlineLevel="0" collapsed="false">
      <c r="E212" s="8"/>
      <c r="F212" s="8"/>
      <c r="H212" s="8"/>
      <c r="K212" s="8"/>
      <c r="S212" s="8"/>
      <c r="W212" s="8"/>
      <c r="X212" s="8"/>
    </row>
    <row r="213" customFormat="false" ht="15" hidden="false" customHeight="false" outlineLevel="0" collapsed="false">
      <c r="E213" s="8"/>
      <c r="F213" s="8"/>
      <c r="H213" s="8"/>
      <c r="K213" s="8"/>
      <c r="S213" s="8"/>
      <c r="W213" s="8"/>
      <c r="X213" s="8"/>
    </row>
    <row r="214" customFormat="false" ht="15" hidden="false" customHeight="false" outlineLevel="0" collapsed="false">
      <c r="E214" s="8"/>
      <c r="F214" s="8"/>
      <c r="H214" s="8"/>
      <c r="K214" s="8"/>
      <c r="S214" s="8"/>
      <c r="W214" s="8"/>
      <c r="X214" s="8"/>
    </row>
    <row r="215" customFormat="false" ht="15" hidden="false" customHeight="false" outlineLevel="0" collapsed="false">
      <c r="E215" s="8"/>
      <c r="F215" s="8"/>
      <c r="H215" s="8"/>
      <c r="K215" s="8"/>
      <c r="S215" s="8"/>
      <c r="W215" s="8"/>
      <c r="X215" s="8"/>
    </row>
    <row r="216" customFormat="false" ht="15" hidden="false" customHeight="false" outlineLevel="0" collapsed="false">
      <c r="E216" s="8"/>
      <c r="F216" s="8"/>
      <c r="H216" s="8"/>
      <c r="K216" s="8"/>
      <c r="S216" s="8"/>
      <c r="W216" s="8"/>
      <c r="X216" s="8"/>
    </row>
    <row r="217" customFormat="false" ht="15" hidden="false" customHeight="false" outlineLevel="0" collapsed="false">
      <c r="E217" s="8"/>
      <c r="F217" s="8"/>
      <c r="H217" s="8"/>
      <c r="K217" s="8"/>
      <c r="S217" s="8"/>
      <c r="W217" s="8"/>
      <c r="X217" s="8"/>
    </row>
    <row r="218" customFormat="false" ht="15" hidden="false" customHeight="false" outlineLevel="0" collapsed="false">
      <c r="E218" s="8"/>
      <c r="F218" s="8"/>
      <c r="H218" s="8"/>
      <c r="K218" s="8"/>
      <c r="S218" s="8"/>
      <c r="W218" s="8"/>
      <c r="X218" s="8"/>
    </row>
    <row r="219" customFormat="false" ht="15" hidden="false" customHeight="false" outlineLevel="0" collapsed="false">
      <c r="E219" s="8"/>
      <c r="F219" s="8"/>
      <c r="H219" s="8"/>
      <c r="K219" s="8"/>
      <c r="S219" s="8"/>
      <c r="W219" s="8"/>
      <c r="X219" s="8"/>
    </row>
    <row r="220" customFormat="false" ht="15" hidden="false" customHeight="false" outlineLevel="0" collapsed="false">
      <c r="E220" s="8"/>
      <c r="F220" s="8"/>
      <c r="H220" s="8"/>
      <c r="K220" s="8"/>
      <c r="S220" s="8"/>
      <c r="W220" s="8"/>
      <c r="X220" s="8"/>
    </row>
    <row r="221" customFormat="false" ht="15" hidden="false" customHeight="false" outlineLevel="0" collapsed="false">
      <c r="E221" s="8"/>
      <c r="F221" s="8"/>
      <c r="H221" s="8"/>
      <c r="K221" s="8"/>
      <c r="S221" s="8"/>
      <c r="W221" s="8"/>
      <c r="X221" s="8"/>
    </row>
    <row r="222" customFormat="false" ht="15" hidden="false" customHeight="false" outlineLevel="0" collapsed="false">
      <c r="E222" s="8"/>
      <c r="F222" s="8"/>
      <c r="H222" s="8"/>
      <c r="K222" s="8"/>
      <c r="S222" s="8"/>
      <c r="W222" s="8"/>
      <c r="X222" s="8"/>
    </row>
    <row r="223" customFormat="false" ht="15" hidden="false" customHeight="false" outlineLevel="0" collapsed="false">
      <c r="E223" s="8"/>
      <c r="F223" s="8"/>
      <c r="H223" s="8"/>
      <c r="K223" s="8"/>
      <c r="S223" s="8"/>
      <c r="W223" s="8"/>
      <c r="X223" s="8"/>
    </row>
    <row r="224" customFormat="false" ht="15" hidden="false" customHeight="false" outlineLevel="0" collapsed="false">
      <c r="E224" s="8"/>
      <c r="F224" s="8"/>
      <c r="H224" s="8"/>
      <c r="K224" s="8"/>
      <c r="S224" s="8"/>
      <c r="W224" s="8"/>
      <c r="X224" s="8"/>
    </row>
    <row r="225" customFormat="false" ht="15" hidden="false" customHeight="false" outlineLevel="0" collapsed="false">
      <c r="E225" s="8"/>
      <c r="F225" s="8"/>
      <c r="H225" s="8"/>
      <c r="K225" s="8"/>
      <c r="S225" s="8"/>
      <c r="W225" s="8"/>
      <c r="X225" s="8"/>
    </row>
    <row r="226" customFormat="false" ht="15" hidden="false" customHeight="false" outlineLevel="0" collapsed="false">
      <c r="E226" s="8"/>
      <c r="F226" s="8"/>
      <c r="H226" s="8"/>
      <c r="K226" s="8"/>
      <c r="S226" s="8"/>
      <c r="W226" s="8"/>
      <c r="X226" s="8"/>
    </row>
    <row r="227" customFormat="false" ht="15" hidden="false" customHeight="false" outlineLevel="0" collapsed="false">
      <c r="E227" s="8"/>
      <c r="F227" s="8"/>
      <c r="H227" s="8"/>
      <c r="K227" s="8"/>
      <c r="S227" s="8"/>
      <c r="W227" s="8"/>
      <c r="X227" s="8"/>
    </row>
    <row r="228" customFormat="false" ht="15" hidden="false" customHeight="false" outlineLevel="0" collapsed="false">
      <c r="E228" s="8"/>
      <c r="F228" s="8"/>
      <c r="H228" s="8"/>
      <c r="K228" s="8"/>
      <c r="S228" s="8"/>
      <c r="W228" s="8"/>
      <c r="X228" s="8"/>
    </row>
    <row r="229" customFormat="false" ht="15" hidden="false" customHeight="false" outlineLevel="0" collapsed="false">
      <c r="E229" s="8"/>
      <c r="F229" s="8"/>
      <c r="H229" s="8"/>
      <c r="K229" s="8"/>
      <c r="S229" s="8"/>
      <c r="W229" s="8"/>
      <c r="X229" s="8"/>
    </row>
    <row r="230" customFormat="false" ht="15" hidden="false" customHeight="false" outlineLevel="0" collapsed="false">
      <c r="E230" s="8"/>
      <c r="F230" s="8"/>
      <c r="H230" s="8"/>
      <c r="K230" s="8"/>
      <c r="S230" s="8"/>
      <c r="W230" s="8"/>
      <c r="X230" s="8"/>
    </row>
    <row r="231" customFormat="false" ht="15" hidden="false" customHeight="false" outlineLevel="0" collapsed="false">
      <c r="E231" s="8"/>
      <c r="F231" s="8"/>
      <c r="H231" s="8"/>
      <c r="K231" s="8"/>
      <c r="S231" s="8"/>
      <c r="W231" s="8"/>
      <c r="X231" s="8"/>
    </row>
    <row r="232" customFormat="false" ht="15" hidden="false" customHeight="false" outlineLevel="0" collapsed="false">
      <c r="E232" s="8"/>
      <c r="F232" s="8"/>
      <c r="H232" s="8"/>
      <c r="K232" s="8"/>
      <c r="S232" s="8"/>
      <c r="W232" s="8"/>
      <c r="X232" s="8"/>
    </row>
    <row r="233" customFormat="false" ht="15" hidden="false" customHeight="false" outlineLevel="0" collapsed="false">
      <c r="E233" s="8"/>
      <c r="F233" s="8"/>
      <c r="H233" s="8"/>
      <c r="K233" s="8"/>
      <c r="S233" s="8"/>
      <c r="W233" s="8"/>
      <c r="X233" s="8"/>
    </row>
    <row r="234" customFormat="false" ht="15" hidden="false" customHeight="false" outlineLevel="0" collapsed="false">
      <c r="E234" s="8"/>
      <c r="F234" s="8"/>
      <c r="H234" s="8"/>
      <c r="K234" s="8"/>
      <c r="S234" s="8"/>
      <c r="W234" s="8"/>
      <c r="X234" s="8"/>
    </row>
    <row r="235" customFormat="false" ht="15" hidden="false" customHeight="false" outlineLevel="0" collapsed="false">
      <c r="E235" s="8"/>
      <c r="F235" s="8"/>
      <c r="H235" s="8"/>
      <c r="K235" s="8"/>
      <c r="S235" s="8"/>
      <c r="W235" s="8"/>
      <c r="X235" s="8"/>
    </row>
    <row r="236" customFormat="false" ht="15" hidden="false" customHeight="false" outlineLevel="0" collapsed="false">
      <c r="E236" s="8"/>
      <c r="F236" s="8"/>
      <c r="H236" s="8"/>
      <c r="K236" s="8"/>
      <c r="S236" s="8"/>
      <c r="W236" s="8"/>
      <c r="X236" s="8"/>
    </row>
    <row r="237" customFormat="false" ht="15" hidden="false" customHeight="false" outlineLevel="0" collapsed="false">
      <c r="E237" s="8"/>
      <c r="F237" s="8"/>
      <c r="H237" s="8"/>
      <c r="K237" s="8"/>
      <c r="S237" s="8"/>
      <c r="W237" s="8"/>
      <c r="X237" s="8"/>
    </row>
    <row r="238" customFormat="false" ht="15" hidden="false" customHeight="false" outlineLevel="0" collapsed="false">
      <c r="E238" s="8"/>
      <c r="F238" s="8"/>
      <c r="H238" s="8"/>
      <c r="K238" s="8"/>
      <c r="S238" s="8"/>
      <c r="W238" s="8"/>
      <c r="X238" s="8"/>
    </row>
    <row r="239" customFormat="false" ht="15" hidden="false" customHeight="false" outlineLevel="0" collapsed="false">
      <c r="E239" s="8"/>
      <c r="F239" s="8"/>
      <c r="H239" s="8"/>
      <c r="K239" s="8"/>
      <c r="S239" s="8"/>
      <c r="W239" s="8"/>
      <c r="X239" s="8"/>
    </row>
    <row r="240" customFormat="false" ht="15" hidden="false" customHeight="false" outlineLevel="0" collapsed="false">
      <c r="E240" s="8"/>
      <c r="F240" s="8"/>
      <c r="H240" s="8"/>
      <c r="K240" s="8"/>
      <c r="S240" s="8"/>
      <c r="W240" s="8"/>
      <c r="X240" s="8"/>
    </row>
    <row r="241" customFormat="false" ht="15" hidden="false" customHeight="false" outlineLevel="0" collapsed="false">
      <c r="E241" s="8"/>
      <c r="F241" s="8"/>
      <c r="H241" s="8"/>
      <c r="K241" s="8"/>
      <c r="S241" s="8"/>
      <c r="W241" s="8"/>
      <c r="X241" s="8"/>
    </row>
    <row r="242" customFormat="false" ht="15" hidden="false" customHeight="false" outlineLevel="0" collapsed="false">
      <c r="E242" s="8"/>
      <c r="F242" s="8"/>
      <c r="H242" s="8"/>
      <c r="K242" s="8"/>
      <c r="S242" s="8"/>
      <c r="W242" s="8"/>
      <c r="X242" s="8"/>
    </row>
    <row r="243" customFormat="false" ht="15" hidden="false" customHeight="false" outlineLevel="0" collapsed="false">
      <c r="E243" s="8"/>
      <c r="F243" s="8"/>
      <c r="H243" s="8"/>
      <c r="K243" s="8"/>
      <c r="S243" s="8"/>
      <c r="W243" s="8"/>
      <c r="X243" s="8"/>
    </row>
    <row r="244" customFormat="false" ht="15" hidden="false" customHeight="false" outlineLevel="0" collapsed="false">
      <c r="E244" s="8"/>
      <c r="F244" s="8"/>
      <c r="H244" s="8"/>
      <c r="K244" s="8"/>
      <c r="S244" s="8"/>
      <c r="W244" s="8"/>
      <c r="X244" s="8"/>
    </row>
    <row r="245" customFormat="false" ht="15" hidden="false" customHeight="false" outlineLevel="0" collapsed="false">
      <c r="E245" s="8"/>
      <c r="F245" s="8"/>
      <c r="H245" s="8"/>
      <c r="K245" s="8"/>
      <c r="S245" s="8"/>
      <c r="W245" s="8"/>
      <c r="X245" s="8"/>
    </row>
    <row r="246" customFormat="false" ht="15" hidden="false" customHeight="false" outlineLevel="0" collapsed="false">
      <c r="E246" s="8"/>
      <c r="F246" s="8"/>
      <c r="H246" s="8"/>
      <c r="K246" s="8"/>
      <c r="S246" s="8"/>
      <c r="W246" s="8"/>
      <c r="X246" s="8"/>
    </row>
    <row r="247" customFormat="false" ht="15" hidden="false" customHeight="false" outlineLevel="0" collapsed="false">
      <c r="E247" s="8"/>
      <c r="F247" s="8"/>
      <c r="H247" s="8"/>
      <c r="K247" s="8"/>
      <c r="S247" s="8"/>
      <c r="W247" s="8"/>
      <c r="X247" s="8"/>
    </row>
    <row r="248" customFormat="false" ht="15" hidden="false" customHeight="false" outlineLevel="0" collapsed="false">
      <c r="E248" s="8"/>
      <c r="F248" s="8"/>
      <c r="H248" s="8"/>
      <c r="K248" s="8"/>
      <c r="S248" s="8"/>
      <c r="W248" s="8"/>
      <c r="X248" s="8"/>
    </row>
    <row r="249" customFormat="false" ht="15" hidden="false" customHeight="false" outlineLevel="0" collapsed="false">
      <c r="E249" s="8"/>
      <c r="F249" s="8"/>
      <c r="H249" s="8"/>
      <c r="K249" s="8"/>
      <c r="S249" s="8"/>
      <c r="W249" s="8"/>
      <c r="X249" s="8"/>
    </row>
    <row r="250" customFormat="false" ht="15" hidden="false" customHeight="false" outlineLevel="0" collapsed="false">
      <c r="E250" s="8"/>
      <c r="F250" s="8"/>
      <c r="H250" s="8"/>
      <c r="K250" s="8"/>
      <c r="S250" s="8"/>
      <c r="W250" s="8"/>
      <c r="X250" s="8"/>
    </row>
    <row r="251" customFormat="false" ht="15" hidden="false" customHeight="false" outlineLevel="0" collapsed="false">
      <c r="E251" s="8"/>
      <c r="F251" s="8"/>
      <c r="H251" s="8"/>
      <c r="K251" s="8"/>
      <c r="S251" s="8"/>
      <c r="W251" s="8"/>
      <c r="X251" s="8"/>
    </row>
    <row r="252" customFormat="false" ht="15" hidden="false" customHeight="false" outlineLevel="0" collapsed="false">
      <c r="E252" s="8"/>
      <c r="F252" s="8"/>
      <c r="H252" s="8"/>
      <c r="K252" s="8"/>
      <c r="S252" s="8"/>
      <c r="W252" s="8"/>
      <c r="X252" s="8"/>
    </row>
    <row r="253" customFormat="false" ht="15" hidden="false" customHeight="false" outlineLevel="0" collapsed="false">
      <c r="E253" s="8"/>
      <c r="F253" s="8"/>
      <c r="H253" s="8"/>
      <c r="K253" s="8"/>
      <c r="S253" s="8"/>
      <c r="W253" s="8"/>
      <c r="X253" s="8"/>
    </row>
    <row r="254" customFormat="false" ht="15" hidden="false" customHeight="false" outlineLevel="0" collapsed="false">
      <c r="E254" s="8"/>
      <c r="F254" s="8"/>
      <c r="H254" s="8"/>
      <c r="K254" s="8"/>
      <c r="S254" s="8"/>
      <c r="W254" s="8"/>
      <c r="X254" s="8"/>
    </row>
    <row r="255" customFormat="false" ht="15" hidden="false" customHeight="false" outlineLevel="0" collapsed="false">
      <c r="E255" s="8"/>
      <c r="F255" s="8"/>
      <c r="H255" s="8"/>
      <c r="K255" s="8"/>
      <c r="S255" s="8"/>
      <c r="W255" s="8"/>
      <c r="X255" s="8"/>
    </row>
    <row r="256" customFormat="false" ht="15" hidden="false" customHeight="false" outlineLevel="0" collapsed="false">
      <c r="E256" s="8"/>
      <c r="F256" s="8"/>
      <c r="H256" s="8"/>
      <c r="K256" s="8"/>
      <c r="S256" s="8"/>
      <c r="W256" s="8"/>
      <c r="X256" s="8"/>
    </row>
    <row r="257" customFormat="false" ht="15" hidden="false" customHeight="false" outlineLevel="0" collapsed="false">
      <c r="E257" s="8"/>
      <c r="F257" s="8"/>
      <c r="H257" s="8"/>
      <c r="K257" s="8"/>
      <c r="S257" s="8"/>
      <c r="W257" s="8"/>
      <c r="X257" s="8"/>
    </row>
    <row r="258" customFormat="false" ht="15" hidden="false" customHeight="false" outlineLevel="0" collapsed="false">
      <c r="E258" s="8"/>
      <c r="F258" s="8"/>
      <c r="H258" s="8"/>
      <c r="K258" s="8"/>
      <c r="S258" s="8"/>
      <c r="W258" s="8"/>
      <c r="X258" s="8"/>
    </row>
    <row r="259" customFormat="false" ht="15" hidden="false" customHeight="false" outlineLevel="0" collapsed="false">
      <c r="E259" s="8"/>
      <c r="F259" s="8"/>
      <c r="H259" s="8"/>
      <c r="K259" s="8"/>
      <c r="S259" s="8"/>
      <c r="W259" s="8"/>
      <c r="X259" s="8"/>
    </row>
    <row r="260" customFormat="false" ht="15" hidden="false" customHeight="false" outlineLevel="0" collapsed="false">
      <c r="E260" s="8"/>
      <c r="F260" s="8"/>
      <c r="H260" s="8"/>
      <c r="K260" s="8"/>
      <c r="S260" s="8"/>
      <c r="W260" s="8"/>
      <c r="X260" s="8"/>
    </row>
    <row r="261" customFormat="false" ht="15" hidden="false" customHeight="false" outlineLevel="0" collapsed="false">
      <c r="E261" s="8"/>
      <c r="F261" s="8"/>
      <c r="H261" s="8"/>
      <c r="K261" s="8"/>
      <c r="S261" s="8"/>
      <c r="W261" s="8"/>
      <c r="X261" s="8"/>
    </row>
    <row r="262" customFormat="false" ht="15" hidden="false" customHeight="false" outlineLevel="0" collapsed="false">
      <c r="E262" s="8"/>
      <c r="F262" s="8"/>
      <c r="H262" s="8"/>
      <c r="K262" s="8"/>
      <c r="S262" s="8"/>
      <c r="W262" s="8"/>
      <c r="X262" s="8"/>
    </row>
    <row r="263" customFormat="false" ht="15" hidden="false" customHeight="false" outlineLevel="0" collapsed="false">
      <c r="E263" s="8"/>
      <c r="F263" s="8"/>
      <c r="H263" s="8"/>
      <c r="K263" s="8"/>
      <c r="S263" s="8"/>
      <c r="W263" s="8"/>
      <c r="X263" s="8"/>
    </row>
    <row r="264" customFormat="false" ht="15" hidden="false" customHeight="false" outlineLevel="0" collapsed="false">
      <c r="E264" s="8"/>
      <c r="F264" s="8"/>
      <c r="H264" s="8"/>
      <c r="K264" s="8"/>
      <c r="S264" s="8"/>
      <c r="W264" s="8"/>
      <c r="X264" s="8"/>
    </row>
    <row r="265" customFormat="false" ht="15" hidden="false" customHeight="false" outlineLevel="0" collapsed="false">
      <c r="E265" s="8"/>
      <c r="F265" s="8"/>
      <c r="H265" s="8"/>
      <c r="K265" s="8"/>
      <c r="S265" s="8"/>
      <c r="W265" s="8"/>
      <c r="X265" s="8"/>
    </row>
    <row r="266" customFormat="false" ht="15" hidden="false" customHeight="false" outlineLevel="0" collapsed="false">
      <c r="E266" s="8"/>
      <c r="F266" s="8"/>
      <c r="H266" s="8"/>
      <c r="K266" s="8"/>
      <c r="S266" s="8"/>
      <c r="W266" s="8"/>
      <c r="X266" s="8"/>
    </row>
    <row r="267" customFormat="false" ht="15" hidden="false" customHeight="false" outlineLevel="0" collapsed="false">
      <c r="E267" s="8"/>
      <c r="F267" s="8"/>
      <c r="H267" s="8"/>
      <c r="K267" s="8"/>
      <c r="S267" s="8"/>
      <c r="W267" s="8"/>
      <c r="X267" s="8"/>
    </row>
    <row r="268" customFormat="false" ht="15" hidden="false" customHeight="false" outlineLevel="0" collapsed="false">
      <c r="E268" s="8"/>
      <c r="F268" s="8"/>
      <c r="H268" s="8"/>
      <c r="K268" s="8"/>
      <c r="S268" s="8"/>
      <c r="W268" s="8"/>
      <c r="X268" s="8"/>
    </row>
    <row r="269" customFormat="false" ht="15" hidden="false" customHeight="false" outlineLevel="0" collapsed="false">
      <c r="E269" s="8"/>
      <c r="F269" s="8"/>
      <c r="H269" s="8"/>
      <c r="K269" s="8"/>
      <c r="S269" s="8"/>
      <c r="W269" s="8"/>
      <c r="X269" s="8"/>
    </row>
    <row r="270" customFormat="false" ht="15" hidden="false" customHeight="false" outlineLevel="0" collapsed="false">
      <c r="E270" s="8"/>
      <c r="F270" s="8"/>
      <c r="H270" s="8"/>
      <c r="K270" s="8"/>
      <c r="S270" s="8"/>
      <c r="W270" s="8"/>
      <c r="X270" s="8"/>
    </row>
    <row r="271" customFormat="false" ht="15" hidden="false" customHeight="false" outlineLevel="0" collapsed="false">
      <c r="E271" s="8"/>
      <c r="F271" s="8"/>
      <c r="H271" s="8"/>
      <c r="K271" s="8"/>
      <c r="S271" s="8"/>
      <c r="W271" s="8"/>
      <c r="X271" s="8"/>
    </row>
    <row r="272" customFormat="false" ht="15" hidden="false" customHeight="false" outlineLevel="0" collapsed="false">
      <c r="E272" s="8"/>
      <c r="F272" s="8"/>
      <c r="H272" s="8"/>
      <c r="K272" s="8"/>
      <c r="S272" s="8"/>
      <c r="W272" s="8"/>
      <c r="X272" s="8"/>
    </row>
    <row r="273" customFormat="false" ht="15" hidden="false" customHeight="false" outlineLevel="0" collapsed="false">
      <c r="E273" s="8"/>
      <c r="F273" s="8"/>
      <c r="H273" s="8"/>
      <c r="K273" s="8"/>
      <c r="S273" s="8"/>
      <c r="W273" s="8"/>
      <c r="X273" s="8"/>
    </row>
    <row r="274" customFormat="false" ht="15" hidden="false" customHeight="false" outlineLevel="0" collapsed="false">
      <c r="E274" s="8"/>
      <c r="F274" s="8"/>
      <c r="H274" s="8"/>
      <c r="K274" s="8"/>
      <c r="S274" s="8"/>
      <c r="W274" s="8"/>
      <c r="X274" s="8"/>
    </row>
    <row r="275" customFormat="false" ht="15" hidden="false" customHeight="false" outlineLevel="0" collapsed="false">
      <c r="E275" s="8"/>
      <c r="F275" s="8"/>
      <c r="H275" s="8"/>
      <c r="K275" s="8"/>
      <c r="S275" s="8"/>
      <c r="W275" s="8"/>
      <c r="X275" s="8"/>
    </row>
    <row r="276" customFormat="false" ht="15" hidden="false" customHeight="false" outlineLevel="0" collapsed="false">
      <c r="E276" s="8"/>
      <c r="F276" s="8"/>
      <c r="H276" s="8"/>
      <c r="K276" s="8"/>
      <c r="S276" s="8"/>
      <c r="W276" s="8"/>
      <c r="X276" s="8"/>
    </row>
    <row r="277" customFormat="false" ht="15" hidden="false" customHeight="false" outlineLevel="0" collapsed="false">
      <c r="E277" s="8"/>
      <c r="F277" s="8"/>
      <c r="H277" s="8"/>
      <c r="K277" s="8"/>
      <c r="S277" s="8"/>
      <c r="W277" s="8"/>
      <c r="X277" s="8"/>
    </row>
    <row r="278" customFormat="false" ht="15" hidden="false" customHeight="false" outlineLevel="0" collapsed="false">
      <c r="E278" s="8"/>
      <c r="F278" s="8"/>
      <c r="H278" s="8"/>
      <c r="K278" s="8"/>
      <c r="S278" s="8"/>
      <c r="W278" s="8"/>
      <c r="X278" s="8"/>
    </row>
    <row r="279" customFormat="false" ht="15" hidden="false" customHeight="false" outlineLevel="0" collapsed="false">
      <c r="E279" s="8"/>
      <c r="F279" s="8"/>
      <c r="H279" s="8"/>
      <c r="K279" s="8"/>
      <c r="S279" s="8"/>
      <c r="W279" s="8"/>
      <c r="X279" s="8"/>
    </row>
    <row r="280" customFormat="false" ht="15" hidden="false" customHeight="false" outlineLevel="0" collapsed="false">
      <c r="E280" s="8"/>
      <c r="F280" s="8"/>
      <c r="H280" s="8"/>
      <c r="K280" s="8"/>
      <c r="S280" s="8"/>
      <c r="W280" s="8"/>
      <c r="X280" s="8"/>
    </row>
    <row r="281" customFormat="false" ht="15" hidden="false" customHeight="false" outlineLevel="0" collapsed="false">
      <c r="E281" s="8"/>
      <c r="F281" s="8"/>
      <c r="H281" s="8"/>
      <c r="K281" s="8"/>
      <c r="S281" s="8"/>
      <c r="W281" s="8"/>
      <c r="X281" s="8"/>
    </row>
    <row r="282" customFormat="false" ht="15" hidden="false" customHeight="false" outlineLevel="0" collapsed="false">
      <c r="E282" s="8"/>
      <c r="F282" s="8"/>
      <c r="H282" s="8"/>
      <c r="K282" s="8"/>
      <c r="S282" s="8"/>
      <c r="W282" s="8"/>
      <c r="X282" s="8"/>
    </row>
    <row r="283" customFormat="false" ht="15" hidden="false" customHeight="false" outlineLevel="0" collapsed="false">
      <c r="E283" s="8"/>
      <c r="F283" s="8"/>
      <c r="H283" s="8"/>
      <c r="K283" s="8"/>
      <c r="S283" s="8"/>
      <c r="W283" s="8"/>
      <c r="X283" s="8"/>
    </row>
    <row r="284" customFormat="false" ht="15" hidden="false" customHeight="false" outlineLevel="0" collapsed="false">
      <c r="E284" s="8"/>
      <c r="F284" s="8"/>
      <c r="H284" s="8"/>
      <c r="K284" s="8"/>
      <c r="S284" s="8"/>
      <c r="W284" s="8"/>
      <c r="X284" s="8"/>
    </row>
    <row r="285" customFormat="false" ht="15" hidden="false" customHeight="false" outlineLevel="0" collapsed="false">
      <c r="E285" s="8"/>
      <c r="F285" s="8"/>
      <c r="H285" s="8"/>
      <c r="K285" s="8"/>
      <c r="S285" s="8"/>
      <c r="W285" s="8"/>
      <c r="X285" s="8"/>
    </row>
    <row r="286" customFormat="false" ht="15" hidden="false" customHeight="false" outlineLevel="0" collapsed="false">
      <c r="E286" s="8"/>
      <c r="F286" s="8"/>
      <c r="H286" s="8"/>
      <c r="K286" s="8"/>
      <c r="S286" s="8"/>
      <c r="W286" s="8"/>
      <c r="X286" s="8"/>
    </row>
    <row r="287" customFormat="false" ht="15" hidden="false" customHeight="false" outlineLevel="0" collapsed="false">
      <c r="E287" s="8"/>
      <c r="F287" s="8"/>
      <c r="H287" s="8"/>
      <c r="K287" s="8"/>
      <c r="S287" s="8"/>
      <c r="W287" s="8"/>
      <c r="X287" s="8"/>
    </row>
    <row r="288" customFormat="false" ht="15" hidden="false" customHeight="false" outlineLevel="0" collapsed="false">
      <c r="E288" s="8"/>
      <c r="F288" s="8"/>
      <c r="H288" s="8"/>
      <c r="K288" s="8"/>
      <c r="S288" s="8"/>
      <c r="W288" s="8"/>
      <c r="X288" s="8"/>
    </row>
    <row r="289" customFormat="false" ht="15" hidden="false" customHeight="false" outlineLevel="0" collapsed="false">
      <c r="E289" s="8"/>
      <c r="F289" s="8"/>
      <c r="H289" s="8"/>
      <c r="K289" s="8"/>
      <c r="S289" s="8"/>
      <c r="W289" s="8"/>
      <c r="X289" s="8"/>
    </row>
    <row r="290" customFormat="false" ht="15" hidden="false" customHeight="false" outlineLevel="0" collapsed="false">
      <c r="E290" s="8"/>
      <c r="F290" s="8"/>
      <c r="H290" s="8"/>
      <c r="K290" s="8"/>
      <c r="S290" s="8"/>
      <c r="W290" s="8"/>
      <c r="X290" s="8"/>
    </row>
    <row r="291" customFormat="false" ht="15" hidden="false" customHeight="false" outlineLevel="0" collapsed="false">
      <c r="E291" s="8"/>
      <c r="F291" s="8"/>
      <c r="H291" s="8"/>
      <c r="K291" s="8"/>
      <c r="S291" s="8"/>
      <c r="W291" s="8"/>
      <c r="X291" s="8"/>
    </row>
    <row r="292" customFormat="false" ht="15" hidden="false" customHeight="false" outlineLevel="0" collapsed="false">
      <c r="E292" s="8"/>
      <c r="F292" s="8"/>
      <c r="H292" s="8"/>
      <c r="K292" s="8"/>
      <c r="S292" s="8"/>
      <c r="W292" s="8"/>
      <c r="X292" s="8"/>
    </row>
    <row r="293" customFormat="false" ht="15" hidden="false" customHeight="false" outlineLevel="0" collapsed="false">
      <c r="E293" s="8"/>
      <c r="F293" s="8"/>
      <c r="H293" s="8"/>
      <c r="K293" s="8"/>
      <c r="S293" s="8"/>
      <c r="W293" s="8"/>
      <c r="X293" s="8"/>
    </row>
    <row r="294" customFormat="false" ht="15" hidden="false" customHeight="false" outlineLevel="0" collapsed="false">
      <c r="E294" s="8"/>
      <c r="F294" s="8"/>
      <c r="H294" s="8"/>
      <c r="K294" s="8"/>
      <c r="S294" s="8"/>
      <c r="W294" s="8"/>
      <c r="X294" s="8"/>
    </row>
    <row r="295" customFormat="false" ht="15" hidden="false" customHeight="false" outlineLevel="0" collapsed="false">
      <c r="E295" s="8"/>
      <c r="F295" s="8"/>
      <c r="H295" s="8"/>
      <c r="K295" s="8"/>
      <c r="S295" s="8"/>
      <c r="W295" s="8"/>
      <c r="X295" s="8"/>
    </row>
    <row r="296" customFormat="false" ht="15" hidden="false" customHeight="false" outlineLevel="0" collapsed="false">
      <c r="E296" s="8"/>
      <c r="F296" s="8"/>
      <c r="H296" s="8"/>
      <c r="K296" s="8"/>
      <c r="S296" s="8"/>
      <c r="W296" s="8"/>
      <c r="X296" s="8"/>
    </row>
    <row r="297" customFormat="false" ht="15" hidden="false" customHeight="false" outlineLevel="0" collapsed="false">
      <c r="E297" s="8"/>
      <c r="F297" s="8"/>
      <c r="H297" s="8"/>
      <c r="K297" s="8"/>
      <c r="S297" s="8"/>
      <c r="W297" s="8"/>
      <c r="X297" s="8"/>
    </row>
    <row r="298" customFormat="false" ht="15" hidden="false" customHeight="false" outlineLevel="0" collapsed="false">
      <c r="E298" s="8"/>
      <c r="F298" s="8"/>
      <c r="H298" s="8"/>
      <c r="K298" s="8"/>
      <c r="S298" s="8"/>
      <c r="W298" s="8"/>
      <c r="X298" s="8"/>
    </row>
    <row r="299" customFormat="false" ht="15" hidden="false" customHeight="false" outlineLevel="0" collapsed="false">
      <c r="E299" s="8"/>
      <c r="F299" s="8"/>
      <c r="H299" s="8"/>
      <c r="K299" s="8"/>
      <c r="S299" s="8"/>
      <c r="W299" s="8"/>
      <c r="X299" s="8"/>
    </row>
    <row r="300" customFormat="false" ht="15" hidden="false" customHeight="false" outlineLevel="0" collapsed="false">
      <c r="E300" s="8"/>
      <c r="F300" s="8"/>
      <c r="H300" s="8"/>
      <c r="K300" s="8"/>
      <c r="S300" s="8"/>
      <c r="W300" s="8"/>
      <c r="X300" s="8"/>
    </row>
    <row r="301" customFormat="false" ht="15" hidden="false" customHeight="false" outlineLevel="0" collapsed="false">
      <c r="E301" s="8"/>
      <c r="F301" s="8"/>
      <c r="H301" s="8"/>
      <c r="K301" s="8"/>
      <c r="S301" s="8"/>
      <c r="W301" s="8"/>
      <c r="X301" s="8"/>
    </row>
    <row r="302" customFormat="false" ht="15" hidden="false" customHeight="false" outlineLevel="0" collapsed="false">
      <c r="E302" s="8"/>
      <c r="F302" s="8"/>
      <c r="H302" s="8"/>
      <c r="K302" s="8"/>
      <c r="S302" s="8"/>
      <c r="W302" s="8"/>
      <c r="X302" s="8"/>
    </row>
    <row r="303" customFormat="false" ht="15" hidden="false" customHeight="false" outlineLevel="0" collapsed="false">
      <c r="E303" s="8"/>
      <c r="F303" s="8"/>
      <c r="H303" s="8"/>
      <c r="K303" s="8"/>
      <c r="S303" s="8"/>
      <c r="W303" s="8"/>
      <c r="X303" s="8"/>
    </row>
    <row r="304" customFormat="false" ht="15" hidden="false" customHeight="false" outlineLevel="0" collapsed="false">
      <c r="E304" s="8"/>
      <c r="F304" s="8"/>
      <c r="H304" s="8"/>
      <c r="K304" s="8"/>
      <c r="S304" s="8"/>
      <c r="W304" s="8"/>
      <c r="X304" s="8"/>
    </row>
    <row r="305" customFormat="false" ht="15" hidden="false" customHeight="false" outlineLevel="0" collapsed="false">
      <c r="E305" s="8"/>
      <c r="F305" s="8"/>
      <c r="H305" s="8"/>
      <c r="K305" s="8"/>
      <c r="S305" s="8"/>
      <c r="W305" s="8"/>
      <c r="X305" s="8"/>
    </row>
    <row r="306" customFormat="false" ht="15" hidden="false" customHeight="false" outlineLevel="0" collapsed="false">
      <c r="E306" s="8"/>
      <c r="F306" s="8"/>
      <c r="H306" s="8"/>
      <c r="K306" s="8"/>
      <c r="S306" s="8"/>
      <c r="W306" s="8"/>
      <c r="X306" s="8"/>
    </row>
    <row r="307" customFormat="false" ht="15" hidden="false" customHeight="false" outlineLevel="0" collapsed="false">
      <c r="E307" s="8"/>
      <c r="F307" s="8"/>
      <c r="H307" s="8"/>
      <c r="K307" s="8"/>
      <c r="S307" s="8"/>
      <c r="W307" s="8"/>
      <c r="X307" s="8"/>
    </row>
    <row r="308" customFormat="false" ht="15" hidden="false" customHeight="false" outlineLevel="0" collapsed="false">
      <c r="E308" s="8"/>
      <c r="F308" s="8"/>
      <c r="H308" s="8"/>
      <c r="K308" s="8"/>
      <c r="S308" s="8"/>
      <c r="W308" s="8"/>
      <c r="X308" s="8"/>
    </row>
    <row r="309" customFormat="false" ht="15" hidden="false" customHeight="false" outlineLevel="0" collapsed="false">
      <c r="E309" s="8"/>
      <c r="F309" s="8"/>
      <c r="H309" s="8"/>
      <c r="K309" s="8"/>
      <c r="S309" s="8"/>
      <c r="W309" s="8"/>
      <c r="X309" s="8"/>
    </row>
    <row r="310" customFormat="false" ht="15" hidden="false" customHeight="false" outlineLevel="0" collapsed="false">
      <c r="E310" s="8"/>
      <c r="F310" s="8"/>
      <c r="H310" s="8"/>
      <c r="K310" s="8"/>
      <c r="S310" s="8"/>
      <c r="W310" s="8"/>
      <c r="X310" s="8"/>
    </row>
    <row r="311" customFormat="false" ht="15" hidden="false" customHeight="false" outlineLevel="0" collapsed="false">
      <c r="E311" s="8"/>
      <c r="F311" s="8"/>
      <c r="H311" s="8"/>
      <c r="K311" s="8"/>
      <c r="S311" s="8"/>
      <c r="W311" s="8"/>
      <c r="X311" s="8"/>
    </row>
    <row r="312" customFormat="false" ht="15" hidden="false" customHeight="false" outlineLevel="0" collapsed="false">
      <c r="E312" s="8"/>
      <c r="F312" s="8"/>
      <c r="H312" s="8"/>
      <c r="K312" s="8"/>
      <c r="S312" s="8"/>
      <c r="W312" s="8"/>
      <c r="X312" s="8"/>
    </row>
    <row r="313" customFormat="false" ht="15" hidden="false" customHeight="false" outlineLevel="0" collapsed="false">
      <c r="E313" s="8"/>
      <c r="F313" s="8"/>
      <c r="H313" s="8"/>
      <c r="K313" s="8"/>
      <c r="S313" s="8"/>
      <c r="W313" s="8"/>
      <c r="X313" s="8"/>
    </row>
    <row r="314" customFormat="false" ht="15" hidden="false" customHeight="false" outlineLevel="0" collapsed="false">
      <c r="E314" s="8"/>
      <c r="F314" s="8"/>
      <c r="H314" s="8"/>
      <c r="K314" s="8"/>
      <c r="S314" s="8"/>
      <c r="W314" s="8"/>
      <c r="X314" s="8"/>
    </row>
    <row r="315" customFormat="false" ht="15" hidden="false" customHeight="false" outlineLevel="0" collapsed="false">
      <c r="E315" s="8"/>
      <c r="F315" s="8"/>
      <c r="H315" s="8"/>
      <c r="K315" s="8"/>
      <c r="S315" s="8"/>
      <c r="W315" s="8"/>
      <c r="X315" s="8"/>
    </row>
    <row r="316" customFormat="false" ht="15" hidden="false" customHeight="false" outlineLevel="0" collapsed="false">
      <c r="E316" s="8"/>
      <c r="F316" s="8"/>
      <c r="H316" s="8"/>
      <c r="K316" s="8"/>
      <c r="S316" s="8"/>
      <c r="W316" s="8"/>
      <c r="X316" s="8"/>
    </row>
    <row r="317" customFormat="false" ht="15" hidden="false" customHeight="false" outlineLevel="0" collapsed="false">
      <c r="E317" s="8"/>
      <c r="F317" s="8"/>
      <c r="H317" s="8"/>
      <c r="K317" s="8"/>
      <c r="S317" s="8"/>
      <c r="W317" s="8"/>
      <c r="X317" s="8"/>
    </row>
    <row r="318" customFormat="false" ht="15" hidden="false" customHeight="false" outlineLevel="0" collapsed="false">
      <c r="E318" s="8"/>
      <c r="F318" s="8"/>
      <c r="H318" s="8"/>
      <c r="K318" s="8"/>
      <c r="S318" s="8"/>
      <c r="W318" s="8"/>
      <c r="X318" s="8"/>
    </row>
    <row r="319" customFormat="false" ht="15" hidden="false" customHeight="false" outlineLevel="0" collapsed="false">
      <c r="E319" s="8"/>
      <c r="F319" s="8"/>
      <c r="H319" s="8"/>
      <c r="K319" s="8"/>
      <c r="S319" s="8"/>
      <c r="W319" s="8"/>
      <c r="X319" s="8"/>
    </row>
    <row r="320" customFormat="false" ht="15" hidden="false" customHeight="false" outlineLevel="0" collapsed="false">
      <c r="E320" s="8"/>
      <c r="F320" s="8"/>
      <c r="H320" s="8"/>
      <c r="K320" s="8"/>
      <c r="S320" s="8"/>
      <c r="W320" s="8"/>
      <c r="X320" s="8"/>
    </row>
    <row r="321" customFormat="false" ht="15" hidden="false" customHeight="false" outlineLevel="0" collapsed="false">
      <c r="E321" s="8"/>
      <c r="F321" s="8"/>
      <c r="H321" s="8"/>
      <c r="K321" s="8"/>
      <c r="S321" s="8"/>
      <c r="W321" s="8"/>
      <c r="X321" s="8"/>
    </row>
    <row r="322" customFormat="false" ht="15" hidden="false" customHeight="false" outlineLevel="0" collapsed="false">
      <c r="E322" s="8"/>
      <c r="F322" s="8"/>
      <c r="H322" s="8"/>
      <c r="K322" s="8"/>
      <c r="S322" s="8"/>
      <c r="W322" s="8"/>
      <c r="X322" s="8"/>
    </row>
    <row r="323" customFormat="false" ht="15" hidden="false" customHeight="false" outlineLevel="0" collapsed="false">
      <c r="E323" s="8"/>
      <c r="F323" s="8"/>
      <c r="H323" s="8"/>
      <c r="K323" s="8"/>
      <c r="S323" s="8"/>
      <c r="W323" s="8"/>
      <c r="X323" s="8"/>
    </row>
    <row r="324" customFormat="false" ht="15" hidden="false" customHeight="false" outlineLevel="0" collapsed="false">
      <c r="E324" s="8"/>
      <c r="F324" s="8"/>
      <c r="H324" s="8"/>
      <c r="K324" s="8"/>
      <c r="S324" s="8"/>
      <c r="W324" s="8"/>
      <c r="X324" s="8"/>
    </row>
    <row r="325" customFormat="false" ht="15" hidden="false" customHeight="false" outlineLevel="0" collapsed="false">
      <c r="E325" s="8"/>
      <c r="F325" s="8"/>
      <c r="H325" s="8"/>
      <c r="K325" s="8"/>
      <c r="S325" s="8"/>
      <c r="W325" s="8"/>
      <c r="X325" s="8"/>
    </row>
    <row r="326" customFormat="false" ht="15" hidden="false" customHeight="false" outlineLevel="0" collapsed="false">
      <c r="E326" s="8"/>
      <c r="F326" s="8"/>
      <c r="H326" s="8"/>
      <c r="K326" s="8"/>
      <c r="S326" s="8"/>
      <c r="W326" s="8"/>
      <c r="X326" s="8"/>
    </row>
    <row r="327" customFormat="false" ht="15" hidden="false" customHeight="false" outlineLevel="0" collapsed="false">
      <c r="E327" s="8"/>
      <c r="F327" s="8"/>
      <c r="H327" s="8"/>
      <c r="K327" s="8"/>
      <c r="S327" s="8"/>
      <c r="W327" s="8"/>
      <c r="X327" s="8"/>
    </row>
    <row r="328" customFormat="false" ht="15" hidden="false" customHeight="false" outlineLevel="0" collapsed="false">
      <c r="E328" s="8"/>
      <c r="F328" s="8"/>
      <c r="H328" s="8"/>
      <c r="K328" s="8"/>
      <c r="S328" s="8"/>
      <c r="W328" s="8"/>
      <c r="X328" s="8"/>
    </row>
    <row r="329" customFormat="false" ht="15" hidden="false" customHeight="false" outlineLevel="0" collapsed="false">
      <c r="E329" s="8"/>
      <c r="F329" s="8"/>
      <c r="H329" s="8"/>
      <c r="K329" s="8"/>
      <c r="S329" s="8"/>
      <c r="W329" s="8"/>
      <c r="X329" s="8"/>
    </row>
    <row r="330" customFormat="false" ht="15" hidden="false" customHeight="false" outlineLevel="0" collapsed="false">
      <c r="E330" s="8"/>
      <c r="F330" s="8"/>
      <c r="H330" s="8"/>
      <c r="K330" s="8"/>
      <c r="S330" s="8"/>
      <c r="W330" s="8"/>
      <c r="X330" s="8"/>
    </row>
    <row r="331" customFormat="false" ht="15" hidden="false" customHeight="false" outlineLevel="0" collapsed="false">
      <c r="E331" s="8"/>
      <c r="F331" s="8"/>
      <c r="H331" s="8"/>
      <c r="K331" s="8"/>
      <c r="S331" s="8"/>
      <c r="W331" s="8"/>
      <c r="X331" s="8"/>
    </row>
    <row r="332" customFormat="false" ht="15" hidden="false" customHeight="false" outlineLevel="0" collapsed="false">
      <c r="E332" s="8"/>
      <c r="F332" s="8"/>
      <c r="H332" s="8"/>
      <c r="K332" s="8"/>
      <c r="S332" s="8"/>
      <c r="W332" s="8"/>
      <c r="X332" s="8"/>
    </row>
    <row r="333" customFormat="false" ht="15" hidden="false" customHeight="false" outlineLevel="0" collapsed="false">
      <c r="E333" s="8"/>
      <c r="F333" s="8"/>
      <c r="H333" s="8"/>
      <c r="K333" s="8"/>
      <c r="S333" s="8"/>
      <c r="W333" s="8"/>
      <c r="X333" s="8"/>
    </row>
    <row r="334" customFormat="false" ht="15" hidden="false" customHeight="false" outlineLevel="0" collapsed="false">
      <c r="E334" s="8"/>
      <c r="F334" s="8"/>
      <c r="H334" s="8"/>
      <c r="K334" s="8"/>
      <c r="S334" s="8"/>
      <c r="W334" s="8"/>
      <c r="X334" s="8"/>
    </row>
    <row r="335" customFormat="false" ht="15" hidden="false" customHeight="false" outlineLevel="0" collapsed="false">
      <c r="E335" s="8"/>
      <c r="F335" s="8"/>
      <c r="H335" s="8"/>
      <c r="K335" s="8"/>
      <c r="S335" s="8"/>
      <c r="W335" s="8"/>
      <c r="X335" s="8"/>
    </row>
    <row r="336" customFormat="false" ht="15" hidden="false" customHeight="false" outlineLevel="0" collapsed="false">
      <c r="E336" s="8"/>
      <c r="F336" s="8"/>
      <c r="H336" s="8"/>
      <c r="K336" s="8"/>
      <c r="S336" s="8"/>
      <c r="W336" s="8"/>
      <c r="X336" s="8"/>
    </row>
    <row r="337" customFormat="false" ht="15" hidden="false" customHeight="false" outlineLevel="0" collapsed="false">
      <c r="E337" s="8"/>
      <c r="F337" s="8"/>
      <c r="H337" s="8"/>
      <c r="K337" s="8"/>
      <c r="S337" s="8"/>
      <c r="W337" s="8"/>
      <c r="X337" s="8"/>
    </row>
    <row r="338" customFormat="false" ht="15" hidden="false" customHeight="false" outlineLevel="0" collapsed="false">
      <c r="E338" s="8"/>
      <c r="F338" s="8"/>
      <c r="H338" s="8"/>
      <c r="K338" s="8"/>
      <c r="S338" s="8"/>
      <c r="W338" s="8"/>
      <c r="X338" s="8"/>
    </row>
    <row r="339" customFormat="false" ht="15" hidden="false" customHeight="false" outlineLevel="0" collapsed="false">
      <c r="E339" s="8"/>
      <c r="F339" s="8"/>
      <c r="H339" s="8"/>
      <c r="K339" s="8"/>
      <c r="S339" s="8"/>
      <c r="W339" s="8"/>
      <c r="X339" s="8"/>
    </row>
    <row r="340" customFormat="false" ht="15" hidden="false" customHeight="false" outlineLevel="0" collapsed="false">
      <c r="E340" s="8"/>
      <c r="F340" s="8"/>
      <c r="H340" s="8"/>
      <c r="K340" s="8"/>
      <c r="S340" s="8"/>
      <c r="W340" s="8"/>
      <c r="X340" s="8"/>
    </row>
    <row r="341" customFormat="false" ht="15" hidden="false" customHeight="false" outlineLevel="0" collapsed="false">
      <c r="E341" s="8"/>
      <c r="F341" s="8"/>
      <c r="H341" s="8"/>
      <c r="K341" s="8"/>
      <c r="S341" s="8"/>
      <c r="W341" s="8"/>
      <c r="X341" s="8"/>
    </row>
    <row r="342" customFormat="false" ht="15" hidden="false" customHeight="false" outlineLevel="0" collapsed="false">
      <c r="E342" s="8"/>
      <c r="F342" s="8"/>
      <c r="H342" s="8"/>
      <c r="K342" s="8"/>
      <c r="S342" s="8"/>
      <c r="W342" s="8"/>
      <c r="X342" s="8"/>
    </row>
    <row r="343" customFormat="false" ht="15" hidden="false" customHeight="false" outlineLevel="0" collapsed="false">
      <c r="E343" s="8"/>
      <c r="F343" s="8"/>
      <c r="H343" s="8"/>
      <c r="K343" s="8"/>
      <c r="S343" s="8"/>
      <c r="W343" s="8"/>
      <c r="X343" s="8"/>
    </row>
    <row r="344" customFormat="false" ht="15" hidden="false" customHeight="false" outlineLevel="0" collapsed="false">
      <c r="E344" s="8"/>
      <c r="F344" s="8"/>
      <c r="H344" s="8"/>
      <c r="K344" s="8"/>
      <c r="S344" s="8"/>
      <c r="W344" s="8"/>
      <c r="X344" s="8"/>
    </row>
    <row r="345" customFormat="false" ht="15" hidden="false" customHeight="false" outlineLevel="0" collapsed="false">
      <c r="E345" s="8"/>
      <c r="F345" s="8"/>
      <c r="H345" s="8"/>
      <c r="K345" s="8"/>
      <c r="S345" s="8"/>
      <c r="W345" s="8"/>
      <c r="X345" s="8"/>
    </row>
    <row r="346" customFormat="false" ht="15" hidden="false" customHeight="false" outlineLevel="0" collapsed="false">
      <c r="E346" s="8"/>
      <c r="F346" s="8"/>
      <c r="H346" s="8"/>
      <c r="K346" s="8"/>
      <c r="S346" s="8"/>
      <c r="W346" s="8"/>
      <c r="X346" s="8"/>
    </row>
    <row r="347" customFormat="false" ht="15" hidden="false" customHeight="false" outlineLevel="0" collapsed="false">
      <c r="E347" s="8"/>
      <c r="F347" s="8"/>
      <c r="H347" s="8"/>
      <c r="K347" s="8"/>
      <c r="S347" s="8"/>
      <c r="W347" s="8"/>
      <c r="X347" s="8"/>
    </row>
    <row r="348" customFormat="false" ht="15" hidden="false" customHeight="false" outlineLevel="0" collapsed="false">
      <c r="E348" s="8"/>
      <c r="F348" s="8"/>
      <c r="H348" s="8"/>
      <c r="K348" s="8"/>
      <c r="S348" s="8"/>
      <c r="W348" s="8"/>
      <c r="X348" s="8"/>
    </row>
    <row r="349" customFormat="false" ht="15" hidden="false" customHeight="false" outlineLevel="0" collapsed="false">
      <c r="E349" s="8"/>
      <c r="F349" s="8"/>
      <c r="H349" s="8"/>
      <c r="K349" s="8"/>
      <c r="S349" s="8"/>
      <c r="W349" s="8"/>
      <c r="X349" s="8"/>
    </row>
    <row r="350" customFormat="false" ht="15" hidden="false" customHeight="false" outlineLevel="0" collapsed="false">
      <c r="E350" s="8"/>
      <c r="F350" s="8"/>
      <c r="H350" s="8"/>
      <c r="K350" s="8"/>
      <c r="S350" s="8"/>
      <c r="W350" s="8"/>
      <c r="X350" s="8"/>
    </row>
    <row r="351" customFormat="false" ht="15" hidden="false" customHeight="false" outlineLevel="0" collapsed="false">
      <c r="E351" s="8"/>
      <c r="F351" s="8"/>
      <c r="H351" s="8"/>
      <c r="K351" s="8"/>
      <c r="S351" s="8"/>
      <c r="W351" s="8"/>
      <c r="X351" s="8"/>
    </row>
    <row r="352" customFormat="false" ht="15" hidden="false" customHeight="false" outlineLevel="0" collapsed="false">
      <c r="E352" s="8"/>
      <c r="F352" s="8"/>
      <c r="H352" s="8"/>
      <c r="K352" s="8"/>
      <c r="S352" s="8"/>
      <c r="W352" s="8"/>
      <c r="X352" s="8"/>
    </row>
    <row r="353" customFormat="false" ht="15" hidden="false" customHeight="false" outlineLevel="0" collapsed="false">
      <c r="E353" s="8"/>
      <c r="F353" s="8"/>
      <c r="H353" s="8"/>
      <c r="K353" s="8"/>
      <c r="S353" s="8"/>
      <c r="W353" s="8"/>
      <c r="X353" s="8"/>
    </row>
    <row r="354" customFormat="false" ht="15" hidden="false" customHeight="false" outlineLevel="0" collapsed="false">
      <c r="E354" s="8"/>
      <c r="F354" s="8"/>
      <c r="H354" s="8"/>
      <c r="K354" s="8"/>
      <c r="S354" s="8"/>
      <c r="W354" s="8"/>
      <c r="X354" s="8"/>
    </row>
    <row r="355" customFormat="false" ht="15" hidden="false" customHeight="false" outlineLevel="0" collapsed="false">
      <c r="E355" s="8"/>
      <c r="F355" s="8"/>
      <c r="H355" s="8"/>
      <c r="K355" s="8"/>
      <c r="S355" s="8"/>
      <c r="W355" s="8"/>
      <c r="X355" s="8"/>
    </row>
    <row r="356" customFormat="false" ht="15" hidden="false" customHeight="false" outlineLevel="0" collapsed="false">
      <c r="E356" s="8"/>
      <c r="F356" s="8"/>
      <c r="H356" s="8"/>
      <c r="K356" s="8"/>
      <c r="S356" s="8"/>
      <c r="W356" s="8"/>
      <c r="X356" s="8"/>
    </row>
    <row r="357" customFormat="false" ht="15" hidden="false" customHeight="false" outlineLevel="0" collapsed="false">
      <c r="E357" s="8"/>
      <c r="F357" s="8"/>
      <c r="H357" s="8"/>
      <c r="K357" s="8"/>
      <c r="S357" s="8"/>
      <c r="W357" s="8"/>
      <c r="X357" s="8"/>
    </row>
    <row r="358" customFormat="false" ht="15" hidden="false" customHeight="false" outlineLevel="0" collapsed="false">
      <c r="E358" s="8"/>
      <c r="F358" s="8"/>
      <c r="H358" s="8"/>
      <c r="K358" s="8"/>
      <c r="S358" s="8"/>
      <c r="W358" s="8"/>
      <c r="X358" s="8"/>
    </row>
    <row r="359" customFormat="false" ht="15" hidden="false" customHeight="false" outlineLevel="0" collapsed="false">
      <c r="E359" s="8"/>
      <c r="F359" s="8"/>
      <c r="H359" s="8"/>
      <c r="K359" s="8"/>
      <c r="S359" s="8"/>
      <c r="W359" s="8"/>
      <c r="X359" s="8"/>
    </row>
    <row r="360" customFormat="false" ht="15" hidden="false" customHeight="false" outlineLevel="0" collapsed="false">
      <c r="E360" s="8"/>
      <c r="F360" s="8"/>
      <c r="H360" s="8"/>
      <c r="K360" s="8"/>
      <c r="S360" s="8"/>
      <c r="W360" s="8"/>
      <c r="X360" s="8"/>
    </row>
    <row r="361" customFormat="false" ht="15" hidden="false" customHeight="false" outlineLevel="0" collapsed="false">
      <c r="E361" s="8"/>
      <c r="F361" s="8"/>
      <c r="H361" s="8"/>
      <c r="K361" s="8"/>
      <c r="S361" s="8"/>
      <c r="W361" s="8"/>
      <c r="X361" s="8"/>
    </row>
    <row r="362" customFormat="false" ht="15" hidden="false" customHeight="false" outlineLevel="0" collapsed="false">
      <c r="E362" s="8"/>
      <c r="F362" s="8"/>
      <c r="H362" s="8"/>
      <c r="K362" s="8"/>
      <c r="S362" s="8"/>
      <c r="W362" s="8"/>
      <c r="X362" s="8"/>
    </row>
    <row r="363" customFormat="false" ht="15" hidden="false" customHeight="false" outlineLevel="0" collapsed="false">
      <c r="E363" s="8"/>
      <c r="F363" s="8"/>
      <c r="H363" s="8"/>
      <c r="K363" s="8"/>
      <c r="S363" s="8"/>
      <c r="W363" s="8"/>
      <c r="X363" s="8"/>
    </row>
    <row r="364" customFormat="false" ht="15" hidden="false" customHeight="false" outlineLevel="0" collapsed="false">
      <c r="E364" s="8"/>
      <c r="F364" s="8"/>
      <c r="H364" s="8"/>
      <c r="K364" s="8"/>
      <c r="S364" s="8"/>
      <c r="W364" s="8"/>
      <c r="X364" s="8"/>
    </row>
    <row r="365" customFormat="false" ht="15" hidden="false" customHeight="false" outlineLevel="0" collapsed="false">
      <c r="E365" s="8"/>
      <c r="F365" s="8"/>
      <c r="H365" s="8"/>
      <c r="K365" s="8"/>
      <c r="S365" s="8"/>
      <c r="W365" s="8"/>
      <c r="X365" s="8"/>
    </row>
    <row r="366" customFormat="false" ht="15" hidden="false" customHeight="false" outlineLevel="0" collapsed="false">
      <c r="E366" s="8"/>
      <c r="F366" s="8"/>
      <c r="H366" s="8"/>
      <c r="K366" s="8"/>
      <c r="S366" s="8"/>
      <c r="W366" s="8"/>
      <c r="X366" s="8"/>
    </row>
    <row r="367" customFormat="false" ht="15" hidden="false" customHeight="false" outlineLevel="0" collapsed="false">
      <c r="E367" s="8"/>
      <c r="F367" s="8"/>
      <c r="H367" s="8"/>
      <c r="K367" s="8"/>
      <c r="S367" s="8"/>
      <c r="W367" s="8"/>
      <c r="X367" s="8"/>
    </row>
    <row r="368" customFormat="false" ht="15" hidden="false" customHeight="false" outlineLevel="0" collapsed="false">
      <c r="E368" s="8"/>
      <c r="F368" s="8"/>
      <c r="H368" s="8"/>
      <c r="K368" s="8"/>
      <c r="S368" s="8"/>
      <c r="W368" s="8"/>
      <c r="X368" s="8"/>
    </row>
    <row r="369" customFormat="false" ht="15" hidden="false" customHeight="false" outlineLevel="0" collapsed="false">
      <c r="E369" s="8"/>
      <c r="F369" s="8"/>
      <c r="H369" s="8"/>
      <c r="K369" s="8"/>
      <c r="S369" s="8"/>
      <c r="W369" s="8"/>
      <c r="X369" s="8"/>
    </row>
    <row r="370" customFormat="false" ht="15" hidden="false" customHeight="false" outlineLevel="0" collapsed="false">
      <c r="E370" s="8"/>
      <c r="F370" s="8"/>
      <c r="H370" s="8"/>
      <c r="K370" s="8"/>
      <c r="S370" s="8"/>
      <c r="W370" s="8"/>
      <c r="X370" s="8"/>
    </row>
    <row r="371" customFormat="false" ht="15" hidden="false" customHeight="false" outlineLevel="0" collapsed="false">
      <c r="E371" s="8"/>
      <c r="F371" s="8"/>
      <c r="H371" s="8"/>
      <c r="K371" s="8"/>
      <c r="S371" s="8"/>
      <c r="W371" s="8"/>
      <c r="X371" s="8"/>
    </row>
    <row r="372" customFormat="false" ht="15" hidden="false" customHeight="false" outlineLevel="0" collapsed="false">
      <c r="E372" s="8"/>
      <c r="F372" s="8"/>
      <c r="H372" s="8"/>
      <c r="K372" s="8"/>
      <c r="S372" s="8"/>
      <c r="W372" s="8"/>
      <c r="X372" s="8"/>
    </row>
    <row r="373" customFormat="false" ht="15" hidden="false" customHeight="false" outlineLevel="0" collapsed="false">
      <c r="E373" s="8"/>
      <c r="F373" s="8"/>
      <c r="H373" s="8"/>
      <c r="K373" s="8"/>
      <c r="S373" s="8"/>
      <c r="W373" s="8"/>
      <c r="X373" s="8"/>
    </row>
    <row r="374" customFormat="false" ht="15" hidden="false" customHeight="false" outlineLevel="0" collapsed="false">
      <c r="E374" s="8"/>
      <c r="F374" s="8"/>
      <c r="H374" s="8"/>
      <c r="K374" s="8"/>
      <c r="S374" s="8"/>
      <c r="W374" s="8"/>
      <c r="X374" s="8"/>
    </row>
    <row r="375" customFormat="false" ht="15" hidden="false" customHeight="false" outlineLevel="0" collapsed="false">
      <c r="E375" s="8"/>
      <c r="F375" s="8"/>
      <c r="H375" s="8"/>
      <c r="K375" s="8"/>
      <c r="S375" s="8"/>
      <c r="W375" s="8"/>
      <c r="X375" s="8"/>
    </row>
    <row r="376" customFormat="false" ht="15" hidden="false" customHeight="false" outlineLevel="0" collapsed="false">
      <c r="E376" s="8"/>
      <c r="F376" s="8"/>
      <c r="H376" s="8"/>
      <c r="K376" s="8"/>
      <c r="S376" s="8"/>
      <c r="W376" s="8"/>
      <c r="X376" s="8"/>
    </row>
    <row r="377" customFormat="false" ht="15" hidden="false" customHeight="false" outlineLevel="0" collapsed="false">
      <c r="E377" s="8"/>
      <c r="F377" s="8"/>
      <c r="H377" s="8"/>
      <c r="K377" s="8"/>
      <c r="S377" s="8"/>
      <c r="W377" s="8"/>
      <c r="X377" s="8"/>
    </row>
    <row r="378" customFormat="false" ht="15" hidden="false" customHeight="false" outlineLevel="0" collapsed="false">
      <c r="E378" s="8"/>
      <c r="F378" s="8"/>
      <c r="H378" s="8"/>
      <c r="K378" s="8"/>
      <c r="S378" s="8"/>
      <c r="W378" s="8"/>
      <c r="X378" s="8"/>
    </row>
    <row r="379" customFormat="false" ht="15" hidden="false" customHeight="false" outlineLevel="0" collapsed="false">
      <c r="E379" s="8"/>
      <c r="F379" s="8"/>
      <c r="H379" s="8"/>
      <c r="K379" s="8"/>
      <c r="S379" s="8"/>
      <c r="W379" s="8"/>
      <c r="X379" s="8"/>
    </row>
    <row r="380" customFormat="false" ht="15" hidden="false" customHeight="false" outlineLevel="0" collapsed="false">
      <c r="E380" s="8"/>
      <c r="F380" s="8"/>
      <c r="H380" s="8"/>
      <c r="K380" s="8"/>
      <c r="S380" s="8"/>
      <c r="W380" s="8"/>
      <c r="X380" s="8"/>
    </row>
    <row r="381" customFormat="false" ht="15" hidden="false" customHeight="false" outlineLevel="0" collapsed="false">
      <c r="E381" s="8"/>
      <c r="F381" s="8"/>
      <c r="H381" s="8"/>
      <c r="K381" s="8"/>
      <c r="S381" s="8"/>
      <c r="W381" s="8"/>
      <c r="X381" s="8"/>
    </row>
    <row r="382" customFormat="false" ht="15" hidden="false" customHeight="false" outlineLevel="0" collapsed="false">
      <c r="E382" s="8"/>
      <c r="F382" s="8"/>
      <c r="H382" s="8"/>
      <c r="K382" s="8"/>
      <c r="S382" s="8"/>
      <c r="W382" s="8"/>
      <c r="X382" s="8"/>
    </row>
    <row r="383" customFormat="false" ht="15" hidden="false" customHeight="false" outlineLevel="0" collapsed="false">
      <c r="E383" s="8"/>
      <c r="F383" s="8"/>
      <c r="H383" s="8"/>
      <c r="K383" s="8"/>
      <c r="S383" s="8"/>
      <c r="W383" s="8"/>
      <c r="X383" s="8"/>
    </row>
    <row r="384" customFormat="false" ht="15" hidden="false" customHeight="false" outlineLevel="0" collapsed="false">
      <c r="E384" s="8"/>
      <c r="F384" s="8"/>
      <c r="H384" s="8"/>
      <c r="K384" s="8"/>
      <c r="S384" s="8"/>
      <c r="W384" s="8"/>
      <c r="X384" s="8"/>
    </row>
    <row r="385" customFormat="false" ht="15" hidden="false" customHeight="false" outlineLevel="0" collapsed="false">
      <c r="E385" s="8"/>
      <c r="F385" s="8"/>
      <c r="H385" s="8"/>
      <c r="K385" s="8"/>
      <c r="S385" s="8"/>
      <c r="W385" s="8"/>
      <c r="X385" s="8"/>
    </row>
    <row r="386" customFormat="false" ht="15" hidden="false" customHeight="false" outlineLevel="0" collapsed="false">
      <c r="E386" s="8"/>
      <c r="F386" s="8"/>
      <c r="H386" s="8"/>
      <c r="K386" s="8"/>
      <c r="S386" s="8"/>
      <c r="W386" s="8"/>
      <c r="X386" s="8"/>
    </row>
    <row r="387" customFormat="false" ht="15" hidden="false" customHeight="false" outlineLevel="0" collapsed="false">
      <c r="E387" s="8"/>
      <c r="F387" s="8"/>
      <c r="H387" s="8"/>
      <c r="K387" s="8"/>
      <c r="S387" s="8"/>
      <c r="W387" s="8"/>
      <c r="X387" s="8"/>
    </row>
    <row r="388" customFormat="false" ht="15" hidden="false" customHeight="false" outlineLevel="0" collapsed="false">
      <c r="E388" s="8"/>
      <c r="F388" s="8"/>
      <c r="H388" s="8"/>
      <c r="K388" s="8"/>
      <c r="S388" s="8"/>
      <c r="W388" s="8"/>
      <c r="X388" s="8"/>
    </row>
    <row r="389" customFormat="false" ht="15" hidden="false" customHeight="false" outlineLevel="0" collapsed="false">
      <c r="E389" s="8"/>
      <c r="F389" s="8"/>
      <c r="H389" s="8"/>
      <c r="K389" s="8"/>
      <c r="S389" s="8"/>
      <c r="W389" s="8"/>
      <c r="X389" s="8"/>
    </row>
    <row r="390" customFormat="false" ht="15" hidden="false" customHeight="false" outlineLevel="0" collapsed="false">
      <c r="E390" s="8"/>
      <c r="F390" s="8"/>
      <c r="H390" s="8"/>
      <c r="K390" s="8"/>
      <c r="S390" s="8"/>
      <c r="W390" s="8"/>
      <c r="X390" s="8"/>
    </row>
    <row r="391" customFormat="false" ht="15" hidden="false" customHeight="false" outlineLevel="0" collapsed="false">
      <c r="E391" s="8"/>
      <c r="F391" s="8"/>
      <c r="H391" s="8"/>
      <c r="K391" s="8"/>
      <c r="S391" s="8"/>
      <c r="W391" s="8"/>
      <c r="X391" s="8"/>
    </row>
    <row r="392" customFormat="false" ht="15" hidden="false" customHeight="false" outlineLevel="0" collapsed="false">
      <c r="E392" s="8"/>
      <c r="F392" s="8"/>
      <c r="H392" s="8"/>
      <c r="K392" s="8"/>
      <c r="S392" s="8"/>
      <c r="W392" s="8"/>
      <c r="X392" s="8"/>
    </row>
    <row r="393" customFormat="false" ht="15" hidden="false" customHeight="false" outlineLevel="0" collapsed="false">
      <c r="E393" s="8"/>
      <c r="F393" s="8"/>
      <c r="H393" s="8"/>
      <c r="K393" s="8"/>
      <c r="S393" s="8"/>
      <c r="W393" s="8"/>
      <c r="X393" s="8"/>
    </row>
    <row r="394" customFormat="false" ht="15" hidden="false" customHeight="false" outlineLevel="0" collapsed="false">
      <c r="E394" s="8"/>
      <c r="F394" s="8"/>
      <c r="H394" s="8"/>
      <c r="K394" s="8"/>
      <c r="S394" s="8"/>
      <c r="W394" s="8"/>
      <c r="X394" s="8"/>
    </row>
    <row r="395" customFormat="false" ht="15" hidden="false" customHeight="false" outlineLevel="0" collapsed="false">
      <c r="E395" s="8"/>
      <c r="F395" s="8"/>
      <c r="H395" s="8"/>
      <c r="K395" s="8"/>
      <c r="S395" s="8"/>
      <c r="W395" s="8"/>
      <c r="X395" s="8"/>
    </row>
    <row r="396" customFormat="false" ht="15" hidden="false" customHeight="false" outlineLevel="0" collapsed="false">
      <c r="E396" s="8"/>
      <c r="F396" s="8"/>
      <c r="H396" s="8"/>
      <c r="K396" s="8"/>
      <c r="S396" s="8"/>
      <c r="W396" s="8"/>
      <c r="X396" s="8"/>
    </row>
    <row r="397" customFormat="false" ht="15" hidden="false" customHeight="false" outlineLevel="0" collapsed="false">
      <c r="E397" s="8"/>
      <c r="F397" s="8"/>
      <c r="H397" s="8"/>
      <c r="K397" s="8"/>
      <c r="S397" s="8"/>
      <c r="W397" s="8"/>
      <c r="X397" s="8"/>
    </row>
    <row r="398" customFormat="false" ht="15" hidden="false" customHeight="false" outlineLevel="0" collapsed="false">
      <c r="E398" s="8"/>
      <c r="F398" s="8"/>
      <c r="H398" s="8"/>
      <c r="K398" s="8"/>
      <c r="S398" s="8"/>
      <c r="W398" s="8"/>
      <c r="X398" s="8"/>
    </row>
    <row r="399" customFormat="false" ht="15" hidden="false" customHeight="false" outlineLevel="0" collapsed="false">
      <c r="E399" s="8"/>
      <c r="F399" s="8"/>
      <c r="H399" s="8"/>
      <c r="K399" s="8"/>
      <c r="S399" s="8"/>
      <c r="W399" s="8"/>
      <c r="X399" s="8"/>
    </row>
    <row r="400" customFormat="false" ht="15" hidden="false" customHeight="false" outlineLevel="0" collapsed="false">
      <c r="E400" s="8"/>
      <c r="F400" s="8"/>
      <c r="H400" s="8"/>
      <c r="K400" s="8"/>
      <c r="S400" s="8"/>
      <c r="W400" s="8"/>
      <c r="X400" s="8"/>
    </row>
    <row r="401" customFormat="false" ht="15" hidden="false" customHeight="false" outlineLevel="0" collapsed="false">
      <c r="E401" s="8"/>
      <c r="F401" s="8"/>
      <c r="H401" s="8"/>
      <c r="K401" s="8"/>
      <c r="S401" s="8"/>
      <c r="W401" s="8"/>
      <c r="X401" s="8"/>
    </row>
    <row r="402" customFormat="false" ht="15" hidden="false" customHeight="false" outlineLevel="0" collapsed="false">
      <c r="E402" s="8"/>
      <c r="F402" s="8"/>
      <c r="H402" s="8"/>
      <c r="K402" s="8"/>
      <c r="S402" s="8"/>
      <c r="W402" s="8"/>
      <c r="X402" s="8"/>
    </row>
    <row r="403" customFormat="false" ht="15" hidden="false" customHeight="false" outlineLevel="0" collapsed="false">
      <c r="E403" s="8"/>
      <c r="F403" s="8"/>
      <c r="H403" s="8"/>
      <c r="K403" s="8"/>
      <c r="S403" s="8"/>
      <c r="W403" s="8"/>
      <c r="X403" s="8"/>
    </row>
    <row r="404" customFormat="false" ht="15" hidden="false" customHeight="false" outlineLevel="0" collapsed="false">
      <c r="E404" s="8"/>
      <c r="F404" s="8"/>
      <c r="H404" s="8"/>
      <c r="K404" s="8"/>
      <c r="S404" s="8"/>
      <c r="W404" s="8"/>
      <c r="X404" s="8"/>
    </row>
    <row r="405" customFormat="false" ht="15" hidden="false" customHeight="false" outlineLevel="0" collapsed="false">
      <c r="E405" s="8"/>
      <c r="F405" s="8"/>
      <c r="H405" s="8"/>
      <c r="K405" s="8"/>
      <c r="S405" s="8"/>
      <c r="W405" s="8"/>
      <c r="X405" s="8"/>
    </row>
    <row r="406" customFormat="false" ht="15" hidden="false" customHeight="false" outlineLevel="0" collapsed="false">
      <c r="E406" s="8"/>
      <c r="F406" s="8"/>
      <c r="H406" s="8"/>
      <c r="K406" s="8"/>
      <c r="S406" s="8"/>
      <c r="W406" s="8"/>
      <c r="X406" s="8"/>
    </row>
    <row r="407" customFormat="false" ht="15" hidden="false" customHeight="false" outlineLevel="0" collapsed="false">
      <c r="E407" s="8"/>
      <c r="F407" s="8"/>
      <c r="H407" s="8"/>
      <c r="K407" s="8"/>
      <c r="S407" s="8"/>
      <c r="W407" s="8"/>
      <c r="X407" s="8"/>
    </row>
    <row r="408" customFormat="false" ht="15" hidden="false" customHeight="false" outlineLevel="0" collapsed="false">
      <c r="E408" s="8"/>
      <c r="F408" s="8"/>
      <c r="H408" s="8"/>
      <c r="K408" s="8"/>
      <c r="S408" s="8"/>
      <c r="W408" s="8"/>
      <c r="X408" s="8"/>
    </row>
    <row r="409" customFormat="false" ht="15" hidden="false" customHeight="false" outlineLevel="0" collapsed="false">
      <c r="E409" s="8"/>
      <c r="F409" s="8"/>
      <c r="H409" s="8"/>
      <c r="K409" s="8"/>
      <c r="S409" s="8"/>
      <c r="W409" s="8"/>
      <c r="X409" s="8"/>
    </row>
    <row r="410" customFormat="false" ht="15" hidden="false" customHeight="false" outlineLevel="0" collapsed="false">
      <c r="E410" s="8"/>
      <c r="F410" s="8"/>
      <c r="H410" s="8"/>
      <c r="K410" s="8"/>
      <c r="S410" s="8"/>
      <c r="W410" s="8"/>
      <c r="X410" s="8"/>
    </row>
    <row r="411" customFormat="false" ht="15" hidden="false" customHeight="false" outlineLevel="0" collapsed="false">
      <c r="E411" s="8"/>
      <c r="F411" s="8"/>
      <c r="H411" s="8"/>
      <c r="K411" s="8"/>
      <c r="S411" s="8"/>
      <c r="W411" s="8"/>
      <c r="X411" s="8"/>
    </row>
    <row r="412" customFormat="false" ht="15" hidden="false" customHeight="false" outlineLevel="0" collapsed="false">
      <c r="E412" s="8"/>
      <c r="F412" s="8"/>
      <c r="H412" s="8"/>
      <c r="K412" s="8"/>
      <c r="S412" s="8"/>
      <c r="W412" s="8"/>
      <c r="X412" s="8"/>
    </row>
    <row r="413" customFormat="false" ht="15" hidden="false" customHeight="false" outlineLevel="0" collapsed="false">
      <c r="E413" s="8"/>
      <c r="F413" s="8"/>
      <c r="H413" s="8"/>
      <c r="K413" s="8"/>
      <c r="S413" s="8"/>
      <c r="W413" s="8"/>
      <c r="X413" s="8"/>
    </row>
    <row r="414" customFormat="false" ht="15" hidden="false" customHeight="false" outlineLevel="0" collapsed="false">
      <c r="E414" s="8"/>
      <c r="F414" s="8"/>
      <c r="H414" s="8"/>
      <c r="K414" s="8"/>
      <c r="S414" s="8"/>
      <c r="W414" s="8"/>
      <c r="X414" s="8"/>
    </row>
    <row r="415" customFormat="false" ht="15" hidden="false" customHeight="false" outlineLevel="0" collapsed="false">
      <c r="E415" s="8"/>
      <c r="F415" s="8"/>
      <c r="H415" s="8"/>
      <c r="K415" s="8"/>
      <c r="S415" s="8"/>
      <c r="W415" s="8"/>
      <c r="X415" s="8"/>
    </row>
    <row r="416" customFormat="false" ht="15" hidden="false" customHeight="false" outlineLevel="0" collapsed="false">
      <c r="E416" s="8"/>
      <c r="F416" s="8"/>
      <c r="H416" s="8"/>
      <c r="K416" s="8"/>
      <c r="S416" s="8"/>
      <c r="W416" s="8"/>
      <c r="X416" s="8"/>
    </row>
    <row r="417" customFormat="false" ht="15" hidden="false" customHeight="false" outlineLevel="0" collapsed="false">
      <c r="E417" s="8"/>
      <c r="F417" s="8"/>
      <c r="H417" s="8"/>
      <c r="K417" s="8"/>
      <c r="S417" s="8"/>
      <c r="W417" s="8"/>
      <c r="X417" s="8"/>
    </row>
    <row r="418" customFormat="false" ht="15" hidden="false" customHeight="false" outlineLevel="0" collapsed="false">
      <c r="E418" s="8"/>
      <c r="F418" s="8"/>
      <c r="H418" s="8"/>
      <c r="K418" s="8"/>
      <c r="S418" s="8"/>
      <c r="W418" s="8"/>
      <c r="X418" s="8"/>
    </row>
    <row r="419" customFormat="false" ht="15" hidden="false" customHeight="false" outlineLevel="0" collapsed="false">
      <c r="E419" s="8"/>
      <c r="F419" s="8"/>
      <c r="H419" s="8"/>
      <c r="K419" s="8"/>
      <c r="S419" s="8"/>
      <c r="W419" s="8"/>
      <c r="X419" s="8"/>
    </row>
    <row r="420" customFormat="false" ht="15" hidden="false" customHeight="false" outlineLevel="0" collapsed="false">
      <c r="E420" s="8"/>
      <c r="F420" s="8"/>
      <c r="H420" s="8"/>
      <c r="K420" s="8"/>
      <c r="S420" s="8"/>
      <c r="W420" s="8"/>
      <c r="X420" s="8"/>
    </row>
    <row r="421" customFormat="false" ht="15" hidden="false" customHeight="false" outlineLevel="0" collapsed="false">
      <c r="E421" s="8"/>
      <c r="F421" s="8"/>
      <c r="H421" s="8"/>
      <c r="K421" s="8"/>
      <c r="S421" s="8"/>
      <c r="W421" s="8"/>
      <c r="X421" s="8"/>
    </row>
    <row r="422" customFormat="false" ht="15" hidden="false" customHeight="false" outlineLevel="0" collapsed="false">
      <c r="E422" s="8"/>
      <c r="F422" s="8"/>
      <c r="H422" s="8"/>
      <c r="K422" s="8"/>
      <c r="S422" s="8"/>
      <c r="W422" s="8"/>
      <c r="X422" s="8"/>
    </row>
    <row r="423" customFormat="false" ht="15" hidden="false" customHeight="false" outlineLevel="0" collapsed="false">
      <c r="E423" s="8"/>
      <c r="F423" s="8"/>
      <c r="H423" s="8"/>
      <c r="K423" s="8"/>
      <c r="S423" s="8"/>
      <c r="W423" s="8"/>
      <c r="X423" s="8"/>
    </row>
    <row r="424" customFormat="false" ht="15" hidden="false" customHeight="false" outlineLevel="0" collapsed="false">
      <c r="E424" s="8"/>
      <c r="F424" s="8"/>
      <c r="H424" s="8"/>
      <c r="K424" s="8"/>
      <c r="S424" s="8"/>
      <c r="W424" s="8"/>
      <c r="X424" s="8"/>
    </row>
    <row r="425" customFormat="false" ht="15" hidden="false" customHeight="false" outlineLevel="0" collapsed="false">
      <c r="E425" s="8"/>
      <c r="F425" s="8"/>
      <c r="H425" s="8"/>
      <c r="K425" s="8"/>
      <c r="S425" s="8"/>
      <c r="W425" s="8"/>
      <c r="X425" s="8"/>
    </row>
    <row r="426" customFormat="false" ht="15" hidden="false" customHeight="false" outlineLevel="0" collapsed="false">
      <c r="E426" s="8"/>
      <c r="F426" s="8"/>
      <c r="H426" s="8"/>
      <c r="K426" s="8"/>
      <c r="S426" s="8"/>
      <c r="W426" s="8"/>
      <c r="X426" s="8"/>
    </row>
    <row r="427" customFormat="false" ht="15" hidden="false" customHeight="false" outlineLevel="0" collapsed="false">
      <c r="E427" s="8"/>
      <c r="F427" s="8"/>
      <c r="H427" s="8"/>
      <c r="K427" s="8"/>
      <c r="S427" s="8"/>
      <c r="W427" s="8"/>
      <c r="X427" s="8"/>
    </row>
    <row r="428" customFormat="false" ht="15" hidden="false" customHeight="false" outlineLevel="0" collapsed="false">
      <c r="E428" s="8"/>
      <c r="F428" s="8"/>
      <c r="H428" s="8"/>
      <c r="K428" s="8"/>
      <c r="S428" s="8"/>
      <c r="W428" s="8"/>
      <c r="X428" s="8"/>
    </row>
    <row r="429" customFormat="false" ht="15" hidden="false" customHeight="false" outlineLevel="0" collapsed="false">
      <c r="E429" s="8"/>
      <c r="F429" s="8"/>
      <c r="H429" s="8"/>
      <c r="K429" s="8"/>
      <c r="S429" s="8"/>
      <c r="W429" s="8"/>
      <c r="X429" s="8"/>
    </row>
    <row r="430" customFormat="false" ht="15" hidden="false" customHeight="false" outlineLevel="0" collapsed="false">
      <c r="E430" s="8"/>
      <c r="F430" s="8"/>
      <c r="H430" s="8"/>
      <c r="K430" s="8"/>
      <c r="S430" s="8"/>
      <c r="W430" s="8"/>
      <c r="X430" s="8"/>
    </row>
    <row r="431" customFormat="false" ht="15" hidden="false" customHeight="false" outlineLevel="0" collapsed="false">
      <c r="E431" s="8"/>
      <c r="F431" s="8"/>
      <c r="H431" s="8"/>
      <c r="K431" s="8"/>
      <c r="S431" s="8"/>
      <c r="W431" s="8"/>
      <c r="X431" s="8"/>
    </row>
    <row r="432" customFormat="false" ht="15" hidden="false" customHeight="false" outlineLevel="0" collapsed="false">
      <c r="E432" s="8"/>
      <c r="F432" s="8"/>
      <c r="H432" s="8"/>
      <c r="K432" s="8"/>
      <c r="S432" s="8"/>
      <c r="W432" s="8"/>
      <c r="X432" s="8"/>
    </row>
    <row r="433" customFormat="false" ht="15" hidden="false" customHeight="false" outlineLevel="0" collapsed="false">
      <c r="E433" s="8"/>
      <c r="F433" s="8"/>
      <c r="H433" s="8"/>
      <c r="K433" s="8"/>
      <c r="S433" s="8"/>
      <c r="W433" s="8"/>
      <c r="X433" s="8"/>
    </row>
    <row r="434" customFormat="false" ht="15" hidden="false" customHeight="false" outlineLevel="0" collapsed="false">
      <c r="E434" s="8"/>
      <c r="F434" s="8"/>
      <c r="H434" s="8"/>
      <c r="K434" s="8"/>
      <c r="S434" s="8"/>
      <c r="W434" s="8"/>
      <c r="X434" s="8"/>
    </row>
    <row r="435" customFormat="false" ht="15" hidden="false" customHeight="false" outlineLevel="0" collapsed="false">
      <c r="E435" s="8"/>
      <c r="F435" s="8"/>
      <c r="H435" s="8"/>
      <c r="K435" s="8"/>
      <c r="S435" s="8"/>
      <c r="W435" s="8"/>
      <c r="X435" s="8"/>
    </row>
    <row r="436" customFormat="false" ht="15" hidden="false" customHeight="false" outlineLevel="0" collapsed="false">
      <c r="E436" s="8"/>
      <c r="F436" s="8"/>
      <c r="H436" s="8"/>
      <c r="K436" s="8"/>
      <c r="S436" s="8"/>
      <c r="W436" s="8"/>
      <c r="X436" s="8"/>
    </row>
    <row r="437" customFormat="false" ht="15" hidden="false" customHeight="false" outlineLevel="0" collapsed="false">
      <c r="E437" s="8"/>
      <c r="F437" s="8"/>
      <c r="H437" s="8"/>
      <c r="K437" s="8"/>
      <c r="S437" s="8"/>
      <c r="W437" s="8"/>
      <c r="X437" s="8"/>
    </row>
    <row r="438" customFormat="false" ht="15" hidden="false" customHeight="false" outlineLevel="0" collapsed="false">
      <c r="E438" s="8"/>
      <c r="F438" s="8"/>
      <c r="H438" s="8"/>
      <c r="K438" s="8"/>
      <c r="S438" s="8"/>
      <c r="W438" s="8"/>
      <c r="X438" s="8"/>
    </row>
    <row r="439" customFormat="false" ht="15" hidden="false" customHeight="false" outlineLevel="0" collapsed="false">
      <c r="E439" s="8"/>
      <c r="F439" s="8"/>
      <c r="H439" s="8"/>
      <c r="K439" s="8"/>
      <c r="S439" s="8"/>
      <c r="W439" s="8"/>
      <c r="X439" s="8"/>
    </row>
    <row r="440" customFormat="false" ht="15" hidden="false" customHeight="false" outlineLevel="0" collapsed="false">
      <c r="E440" s="8"/>
      <c r="F440" s="8"/>
      <c r="H440" s="8"/>
      <c r="K440" s="8"/>
      <c r="S440" s="8"/>
      <c r="W440" s="8"/>
      <c r="X440" s="8"/>
    </row>
    <row r="441" customFormat="false" ht="15" hidden="false" customHeight="false" outlineLevel="0" collapsed="false">
      <c r="E441" s="8"/>
      <c r="F441" s="8"/>
      <c r="H441" s="8"/>
      <c r="K441" s="8"/>
      <c r="S441" s="8"/>
      <c r="W441" s="8"/>
      <c r="X441" s="8"/>
    </row>
    <row r="442" customFormat="false" ht="15" hidden="false" customHeight="false" outlineLevel="0" collapsed="false">
      <c r="E442" s="8"/>
      <c r="F442" s="8"/>
      <c r="H442" s="8"/>
      <c r="K442" s="8"/>
      <c r="S442" s="8"/>
      <c r="W442" s="8"/>
      <c r="X442" s="8"/>
    </row>
    <row r="443" customFormat="false" ht="15" hidden="false" customHeight="false" outlineLevel="0" collapsed="false">
      <c r="E443" s="8"/>
      <c r="F443" s="8"/>
      <c r="H443" s="8"/>
      <c r="K443" s="8"/>
      <c r="S443" s="8"/>
      <c r="W443" s="8"/>
      <c r="X443" s="8"/>
    </row>
    <row r="444" customFormat="false" ht="15" hidden="false" customHeight="false" outlineLevel="0" collapsed="false">
      <c r="E444" s="8"/>
      <c r="F444" s="8"/>
      <c r="H444" s="8"/>
      <c r="K444" s="8"/>
      <c r="S444" s="8"/>
      <c r="W444" s="8"/>
      <c r="X444" s="8"/>
    </row>
    <row r="445" customFormat="false" ht="15" hidden="false" customHeight="false" outlineLevel="0" collapsed="false">
      <c r="E445" s="8"/>
      <c r="F445" s="8"/>
      <c r="H445" s="8"/>
      <c r="K445" s="8"/>
      <c r="S445" s="8"/>
      <c r="W445" s="8"/>
      <c r="X445" s="8"/>
    </row>
    <row r="446" customFormat="false" ht="15" hidden="false" customHeight="false" outlineLevel="0" collapsed="false">
      <c r="E446" s="8"/>
      <c r="F446" s="8"/>
      <c r="H446" s="8"/>
      <c r="K446" s="8"/>
      <c r="S446" s="8"/>
      <c r="W446" s="8"/>
      <c r="X446" s="8"/>
    </row>
    <row r="447" customFormat="false" ht="15" hidden="false" customHeight="false" outlineLevel="0" collapsed="false">
      <c r="E447" s="8"/>
      <c r="F447" s="8"/>
      <c r="H447" s="8"/>
      <c r="K447" s="8"/>
      <c r="S447" s="8"/>
      <c r="W447" s="8"/>
      <c r="X447" s="8"/>
    </row>
    <row r="448" customFormat="false" ht="15" hidden="false" customHeight="false" outlineLevel="0" collapsed="false">
      <c r="E448" s="8"/>
      <c r="F448" s="8"/>
      <c r="H448" s="8"/>
      <c r="K448" s="8"/>
      <c r="S448" s="8"/>
      <c r="W448" s="8"/>
      <c r="X448" s="8"/>
    </row>
    <row r="449" customFormat="false" ht="15" hidden="false" customHeight="false" outlineLevel="0" collapsed="false">
      <c r="E449" s="8"/>
      <c r="F449" s="8"/>
      <c r="H449" s="8"/>
      <c r="K449" s="8"/>
      <c r="S449" s="8"/>
      <c r="W449" s="8"/>
      <c r="X449" s="8"/>
    </row>
    <row r="450" customFormat="false" ht="15" hidden="false" customHeight="false" outlineLevel="0" collapsed="false">
      <c r="E450" s="8"/>
      <c r="F450" s="8"/>
      <c r="H450" s="8"/>
      <c r="K450" s="8"/>
      <c r="S450" s="8"/>
      <c r="W450" s="8"/>
      <c r="X450" s="8"/>
    </row>
    <row r="451" customFormat="false" ht="15" hidden="false" customHeight="false" outlineLevel="0" collapsed="false">
      <c r="E451" s="8"/>
      <c r="F451" s="8"/>
      <c r="H451" s="8"/>
      <c r="K451" s="8"/>
      <c r="S451" s="8"/>
      <c r="W451" s="8"/>
      <c r="X451" s="8"/>
    </row>
    <row r="452" customFormat="false" ht="15" hidden="false" customHeight="false" outlineLevel="0" collapsed="false">
      <c r="E452" s="8"/>
      <c r="F452" s="8"/>
      <c r="H452" s="8"/>
      <c r="K452" s="8"/>
      <c r="S452" s="8"/>
      <c r="W452" s="8"/>
      <c r="X452" s="8"/>
    </row>
    <row r="453" customFormat="false" ht="15" hidden="false" customHeight="false" outlineLevel="0" collapsed="false">
      <c r="E453" s="8"/>
      <c r="F453" s="8"/>
      <c r="H453" s="8"/>
      <c r="K453" s="8"/>
      <c r="S453" s="8"/>
      <c r="W453" s="8"/>
      <c r="X453" s="8"/>
    </row>
    <row r="454" customFormat="false" ht="15" hidden="false" customHeight="false" outlineLevel="0" collapsed="false">
      <c r="E454" s="8"/>
      <c r="F454" s="8"/>
      <c r="H454" s="8"/>
      <c r="K454" s="8"/>
      <c r="S454" s="8"/>
      <c r="W454" s="8"/>
      <c r="X454" s="8"/>
    </row>
    <row r="455" customFormat="false" ht="15" hidden="false" customHeight="false" outlineLevel="0" collapsed="false">
      <c r="E455" s="8"/>
      <c r="F455" s="8"/>
      <c r="H455" s="8"/>
      <c r="K455" s="8"/>
      <c r="S455" s="8"/>
      <c r="W455" s="8"/>
      <c r="X455" s="8"/>
    </row>
    <row r="456" customFormat="false" ht="15" hidden="false" customHeight="false" outlineLevel="0" collapsed="false">
      <c r="E456" s="8"/>
      <c r="F456" s="8"/>
      <c r="H456" s="8"/>
      <c r="K456" s="8"/>
      <c r="S456" s="8"/>
      <c r="W456" s="8"/>
      <c r="X456" s="8"/>
    </row>
    <row r="457" customFormat="false" ht="15" hidden="false" customHeight="false" outlineLevel="0" collapsed="false">
      <c r="E457" s="8"/>
      <c r="F457" s="8"/>
      <c r="H457" s="8"/>
      <c r="K457" s="8"/>
      <c r="S457" s="8"/>
      <c r="W457" s="8"/>
      <c r="X457" s="8"/>
    </row>
    <row r="458" customFormat="false" ht="15" hidden="false" customHeight="false" outlineLevel="0" collapsed="false">
      <c r="E458" s="8"/>
      <c r="F458" s="8"/>
      <c r="H458" s="8"/>
      <c r="K458" s="8"/>
      <c r="S458" s="8"/>
      <c r="W458" s="8"/>
      <c r="X458" s="8"/>
    </row>
    <row r="459" customFormat="false" ht="15" hidden="false" customHeight="false" outlineLevel="0" collapsed="false">
      <c r="E459" s="8"/>
      <c r="F459" s="8"/>
      <c r="H459" s="8"/>
      <c r="K459" s="8"/>
      <c r="S459" s="8"/>
      <c r="W459" s="8"/>
      <c r="X459" s="8"/>
    </row>
    <row r="460" customFormat="false" ht="15" hidden="false" customHeight="false" outlineLevel="0" collapsed="false">
      <c r="E460" s="8"/>
      <c r="F460" s="8"/>
      <c r="H460" s="8"/>
      <c r="K460" s="8"/>
      <c r="S460" s="8"/>
      <c r="W460" s="8"/>
      <c r="X460" s="8"/>
    </row>
    <row r="461" customFormat="false" ht="15" hidden="false" customHeight="false" outlineLevel="0" collapsed="false">
      <c r="E461" s="8"/>
      <c r="F461" s="8"/>
      <c r="H461" s="8"/>
      <c r="K461" s="8"/>
      <c r="S461" s="8"/>
      <c r="W461" s="8"/>
      <c r="X461" s="8"/>
    </row>
    <row r="462" customFormat="false" ht="15" hidden="false" customHeight="false" outlineLevel="0" collapsed="false">
      <c r="E462" s="8"/>
      <c r="F462" s="8"/>
      <c r="H462" s="8"/>
      <c r="K462" s="8"/>
      <c r="S462" s="8"/>
      <c r="W462" s="8"/>
      <c r="X462" s="8"/>
    </row>
    <row r="463" customFormat="false" ht="15" hidden="false" customHeight="false" outlineLevel="0" collapsed="false">
      <c r="E463" s="8"/>
      <c r="F463" s="8"/>
      <c r="H463" s="8"/>
      <c r="K463" s="8"/>
      <c r="S463" s="8"/>
      <c r="W463" s="8"/>
      <c r="X463" s="8"/>
    </row>
    <row r="464" customFormat="false" ht="15" hidden="false" customHeight="false" outlineLevel="0" collapsed="false">
      <c r="E464" s="8"/>
      <c r="F464" s="8"/>
      <c r="H464" s="8"/>
      <c r="K464" s="8"/>
      <c r="S464" s="8"/>
      <c r="W464" s="8"/>
      <c r="X464" s="8"/>
    </row>
    <row r="465" customFormat="false" ht="15" hidden="false" customHeight="false" outlineLevel="0" collapsed="false">
      <c r="E465" s="8"/>
      <c r="F465" s="8"/>
      <c r="H465" s="8"/>
      <c r="K465" s="8"/>
      <c r="S465" s="8"/>
      <c r="W465" s="8"/>
      <c r="X465" s="8"/>
    </row>
    <row r="466" customFormat="false" ht="15" hidden="false" customHeight="false" outlineLevel="0" collapsed="false">
      <c r="E466" s="8"/>
      <c r="F466" s="8"/>
      <c r="H466" s="8"/>
      <c r="K466" s="8"/>
      <c r="S466" s="8"/>
      <c r="W466" s="8"/>
      <c r="X466" s="8"/>
    </row>
    <row r="467" customFormat="false" ht="15" hidden="false" customHeight="false" outlineLevel="0" collapsed="false">
      <c r="E467" s="8"/>
      <c r="F467" s="8"/>
      <c r="H467" s="8"/>
      <c r="K467" s="8"/>
      <c r="S467" s="8"/>
      <c r="W467" s="8"/>
      <c r="X467" s="8"/>
    </row>
    <row r="468" customFormat="false" ht="15" hidden="false" customHeight="false" outlineLevel="0" collapsed="false">
      <c r="E468" s="8"/>
      <c r="F468" s="8"/>
      <c r="H468" s="8"/>
      <c r="K468" s="8"/>
      <c r="S468" s="8"/>
      <c r="W468" s="8"/>
      <c r="X468" s="8"/>
    </row>
    <row r="469" customFormat="false" ht="15" hidden="false" customHeight="false" outlineLevel="0" collapsed="false">
      <c r="E469" s="8"/>
      <c r="F469" s="8"/>
      <c r="H469" s="8"/>
      <c r="K469" s="8"/>
      <c r="S469" s="8"/>
      <c r="W469" s="8"/>
      <c r="X469" s="8"/>
    </row>
    <row r="470" customFormat="false" ht="15" hidden="false" customHeight="false" outlineLevel="0" collapsed="false">
      <c r="E470" s="8"/>
      <c r="F470" s="8"/>
      <c r="H470" s="8"/>
      <c r="K470" s="8"/>
      <c r="S470" s="8"/>
      <c r="W470" s="8"/>
      <c r="X470" s="8"/>
    </row>
    <row r="471" customFormat="false" ht="15" hidden="false" customHeight="false" outlineLevel="0" collapsed="false">
      <c r="E471" s="8"/>
      <c r="F471" s="8"/>
      <c r="H471" s="8"/>
      <c r="K471" s="8"/>
      <c r="S471" s="8"/>
      <c r="W471" s="8"/>
      <c r="X471" s="8"/>
    </row>
    <row r="472" customFormat="false" ht="15" hidden="false" customHeight="false" outlineLevel="0" collapsed="false">
      <c r="E472" s="8"/>
      <c r="F472" s="8"/>
      <c r="H472" s="8"/>
      <c r="K472" s="8"/>
      <c r="S472" s="8"/>
      <c r="W472" s="8"/>
      <c r="X472" s="8"/>
    </row>
    <row r="473" customFormat="false" ht="15" hidden="false" customHeight="false" outlineLevel="0" collapsed="false">
      <c r="E473" s="8"/>
      <c r="F473" s="8"/>
      <c r="H473" s="8"/>
      <c r="K473" s="8"/>
      <c r="S473" s="8"/>
      <c r="W473" s="8"/>
      <c r="X473" s="8"/>
    </row>
    <row r="474" customFormat="false" ht="15" hidden="false" customHeight="false" outlineLevel="0" collapsed="false">
      <c r="E474" s="8"/>
      <c r="F474" s="8"/>
      <c r="H474" s="8"/>
      <c r="K474" s="8"/>
      <c r="S474" s="8"/>
      <c r="W474" s="8"/>
      <c r="X474" s="8"/>
    </row>
    <row r="475" customFormat="false" ht="15" hidden="false" customHeight="false" outlineLevel="0" collapsed="false">
      <c r="E475" s="8"/>
      <c r="F475" s="8"/>
      <c r="H475" s="8"/>
      <c r="K475" s="8"/>
      <c r="S475" s="8"/>
      <c r="W475" s="8"/>
      <c r="X475" s="8"/>
    </row>
    <row r="476" customFormat="false" ht="15" hidden="false" customHeight="false" outlineLevel="0" collapsed="false">
      <c r="E476" s="8"/>
      <c r="F476" s="8"/>
      <c r="H476" s="8"/>
      <c r="K476" s="8"/>
      <c r="S476" s="8"/>
      <c r="W476" s="8"/>
      <c r="X476" s="8"/>
    </row>
    <row r="477" customFormat="false" ht="15" hidden="false" customHeight="false" outlineLevel="0" collapsed="false">
      <c r="E477" s="8"/>
      <c r="F477" s="8"/>
      <c r="H477" s="8"/>
      <c r="K477" s="8"/>
      <c r="S477" s="8"/>
      <c r="W477" s="8"/>
      <c r="X477" s="8"/>
    </row>
    <row r="478" customFormat="false" ht="15" hidden="false" customHeight="false" outlineLevel="0" collapsed="false">
      <c r="E478" s="8"/>
      <c r="F478" s="8"/>
      <c r="H478" s="8"/>
      <c r="K478" s="8"/>
      <c r="S478" s="8"/>
      <c r="W478" s="8"/>
      <c r="X478" s="8"/>
    </row>
    <row r="479" customFormat="false" ht="15" hidden="false" customHeight="false" outlineLevel="0" collapsed="false">
      <c r="E479" s="8"/>
      <c r="F479" s="8"/>
      <c r="H479" s="8"/>
      <c r="K479" s="8"/>
      <c r="S479" s="8"/>
      <c r="W479" s="8"/>
      <c r="X479" s="8"/>
    </row>
    <row r="480" customFormat="false" ht="15" hidden="false" customHeight="false" outlineLevel="0" collapsed="false">
      <c r="E480" s="8"/>
      <c r="F480" s="8"/>
      <c r="H480" s="8"/>
      <c r="K480" s="8"/>
      <c r="S480" s="8"/>
      <c r="W480" s="8"/>
      <c r="X480" s="8"/>
    </row>
    <row r="481" customFormat="false" ht="15" hidden="false" customHeight="false" outlineLevel="0" collapsed="false">
      <c r="E481" s="8"/>
      <c r="F481" s="8"/>
      <c r="H481" s="8"/>
      <c r="K481" s="8"/>
      <c r="S481" s="8"/>
      <c r="W481" s="8"/>
      <c r="X481" s="8"/>
    </row>
    <row r="482" customFormat="false" ht="15" hidden="false" customHeight="false" outlineLevel="0" collapsed="false">
      <c r="E482" s="8"/>
      <c r="F482" s="8"/>
      <c r="H482" s="8"/>
      <c r="K482" s="8"/>
      <c r="S482" s="8"/>
      <c r="W482" s="8"/>
      <c r="X482" s="8"/>
    </row>
    <row r="483" customFormat="false" ht="15" hidden="false" customHeight="false" outlineLevel="0" collapsed="false">
      <c r="E483" s="8"/>
      <c r="F483" s="8"/>
      <c r="H483" s="8"/>
      <c r="K483" s="8"/>
      <c r="S483" s="8"/>
      <c r="W483" s="8"/>
      <c r="X483" s="8"/>
    </row>
    <row r="484" customFormat="false" ht="15" hidden="false" customHeight="false" outlineLevel="0" collapsed="false">
      <c r="E484" s="8"/>
      <c r="F484" s="8"/>
      <c r="H484" s="8"/>
      <c r="K484" s="8"/>
      <c r="S484" s="8"/>
      <c r="W484" s="8"/>
      <c r="X484" s="8"/>
    </row>
    <row r="485" customFormat="false" ht="15" hidden="false" customHeight="false" outlineLevel="0" collapsed="false">
      <c r="E485" s="8"/>
      <c r="F485" s="8"/>
      <c r="H485" s="8"/>
      <c r="K485" s="8"/>
      <c r="S485" s="8"/>
      <c r="W485" s="8"/>
      <c r="X485" s="8"/>
    </row>
    <row r="486" customFormat="false" ht="15" hidden="false" customHeight="false" outlineLevel="0" collapsed="false">
      <c r="E486" s="8"/>
      <c r="F486" s="8"/>
      <c r="H486" s="8"/>
      <c r="K486" s="8"/>
      <c r="S486" s="8"/>
      <c r="W486" s="8"/>
      <c r="X486" s="8"/>
    </row>
    <row r="487" customFormat="false" ht="15" hidden="false" customHeight="false" outlineLevel="0" collapsed="false">
      <c r="E487" s="8"/>
      <c r="F487" s="8"/>
      <c r="H487" s="8"/>
      <c r="K487" s="8"/>
      <c r="S487" s="8"/>
      <c r="W487" s="8"/>
      <c r="X487" s="8"/>
    </row>
    <row r="488" customFormat="false" ht="15" hidden="false" customHeight="false" outlineLevel="0" collapsed="false">
      <c r="E488" s="8"/>
      <c r="F488" s="8"/>
      <c r="H488" s="8"/>
      <c r="K488" s="8"/>
      <c r="S488" s="8"/>
      <c r="W488" s="8"/>
      <c r="X488" s="8"/>
    </row>
    <row r="489" customFormat="false" ht="15" hidden="false" customHeight="false" outlineLevel="0" collapsed="false">
      <c r="E489" s="8"/>
      <c r="F489" s="8"/>
      <c r="H489" s="8"/>
      <c r="K489" s="8"/>
      <c r="S489" s="8"/>
      <c r="W489" s="8"/>
      <c r="X489" s="8"/>
    </row>
    <row r="490" customFormat="false" ht="15" hidden="false" customHeight="false" outlineLevel="0" collapsed="false">
      <c r="E490" s="8"/>
      <c r="F490" s="8"/>
      <c r="H490" s="8"/>
      <c r="K490" s="8"/>
      <c r="S490" s="8"/>
      <c r="W490" s="8"/>
      <c r="X490" s="8"/>
    </row>
    <row r="491" customFormat="false" ht="15" hidden="false" customHeight="false" outlineLevel="0" collapsed="false">
      <c r="E491" s="8"/>
      <c r="F491" s="8"/>
      <c r="H491" s="8"/>
      <c r="K491" s="8"/>
      <c r="S491" s="8"/>
      <c r="W491" s="8"/>
      <c r="X491" s="8"/>
    </row>
    <row r="492" customFormat="false" ht="15" hidden="false" customHeight="false" outlineLevel="0" collapsed="false">
      <c r="E492" s="8"/>
      <c r="F492" s="8"/>
      <c r="H492" s="8"/>
      <c r="K492" s="8"/>
      <c r="S492" s="8"/>
      <c r="W492" s="8"/>
      <c r="X492" s="8"/>
    </row>
    <row r="493" customFormat="false" ht="15" hidden="false" customHeight="false" outlineLevel="0" collapsed="false">
      <c r="E493" s="8"/>
      <c r="F493" s="8"/>
      <c r="H493" s="8"/>
      <c r="K493" s="8"/>
      <c r="S493" s="8"/>
      <c r="W493" s="8"/>
      <c r="X493" s="8"/>
    </row>
    <row r="494" customFormat="false" ht="15" hidden="false" customHeight="false" outlineLevel="0" collapsed="false">
      <c r="E494" s="8"/>
      <c r="F494" s="8"/>
      <c r="H494" s="8"/>
      <c r="K494" s="8"/>
      <c r="S494" s="8"/>
      <c r="W494" s="8"/>
      <c r="X494" s="8"/>
    </row>
    <row r="495" customFormat="false" ht="15" hidden="false" customHeight="false" outlineLevel="0" collapsed="false">
      <c r="E495" s="8"/>
      <c r="F495" s="8"/>
      <c r="H495" s="8"/>
      <c r="K495" s="8"/>
      <c r="S495" s="8"/>
      <c r="W495" s="8"/>
      <c r="X495" s="8"/>
    </row>
    <row r="496" customFormat="false" ht="15" hidden="false" customHeight="false" outlineLevel="0" collapsed="false">
      <c r="E496" s="8"/>
      <c r="F496" s="8"/>
      <c r="H496" s="8"/>
      <c r="K496" s="8"/>
      <c r="S496" s="8"/>
      <c r="W496" s="8"/>
      <c r="X496" s="8"/>
    </row>
    <row r="497" customFormat="false" ht="15" hidden="false" customHeight="false" outlineLevel="0" collapsed="false">
      <c r="E497" s="8"/>
      <c r="F497" s="8"/>
      <c r="H497" s="8"/>
      <c r="K497" s="8"/>
      <c r="S497" s="8"/>
      <c r="W497" s="8"/>
      <c r="X497" s="8"/>
    </row>
    <row r="498" customFormat="false" ht="15" hidden="false" customHeight="false" outlineLevel="0" collapsed="false">
      <c r="E498" s="8"/>
      <c r="F498" s="8"/>
      <c r="H498" s="8"/>
      <c r="K498" s="8"/>
      <c r="S498" s="8"/>
      <c r="W498" s="8"/>
      <c r="X498" s="8"/>
    </row>
    <row r="499" customFormat="false" ht="15" hidden="false" customHeight="false" outlineLevel="0" collapsed="false">
      <c r="E499" s="8"/>
      <c r="F499" s="8"/>
      <c r="H499" s="8"/>
      <c r="K499" s="8"/>
      <c r="S499" s="8"/>
      <c r="W499" s="8"/>
      <c r="X499" s="8"/>
    </row>
    <row r="500" customFormat="false" ht="15" hidden="false" customHeight="false" outlineLevel="0" collapsed="false">
      <c r="E500" s="8"/>
      <c r="F500" s="8"/>
      <c r="H500" s="8"/>
      <c r="K500" s="8"/>
      <c r="S500" s="8"/>
      <c r="W500" s="8"/>
      <c r="X500" s="8"/>
    </row>
    <row r="501" customFormat="false" ht="15" hidden="false" customHeight="false" outlineLevel="0" collapsed="false">
      <c r="E501" s="8"/>
      <c r="F501" s="8"/>
      <c r="H501" s="8"/>
      <c r="K501" s="8"/>
      <c r="S501" s="8"/>
      <c r="W501" s="8"/>
      <c r="X501" s="8"/>
    </row>
    <row r="502" customFormat="false" ht="15" hidden="false" customHeight="false" outlineLevel="0" collapsed="false">
      <c r="E502" s="8"/>
      <c r="F502" s="8"/>
      <c r="H502" s="8"/>
      <c r="K502" s="8"/>
      <c r="S502" s="8"/>
      <c r="W502" s="8"/>
      <c r="X502" s="8"/>
    </row>
    <row r="503" customFormat="false" ht="15" hidden="false" customHeight="false" outlineLevel="0" collapsed="false">
      <c r="E503" s="8"/>
      <c r="F503" s="8"/>
      <c r="H503" s="8"/>
      <c r="K503" s="8"/>
      <c r="S503" s="8"/>
      <c r="W503" s="8"/>
      <c r="X503" s="8"/>
    </row>
    <row r="504" customFormat="false" ht="15" hidden="false" customHeight="false" outlineLevel="0" collapsed="false">
      <c r="E504" s="8"/>
      <c r="F504" s="8"/>
      <c r="H504" s="8"/>
      <c r="K504" s="8"/>
      <c r="S504" s="8"/>
      <c r="W504" s="8"/>
      <c r="X504" s="8"/>
    </row>
    <row r="505" customFormat="false" ht="15" hidden="false" customHeight="false" outlineLevel="0" collapsed="false">
      <c r="E505" s="8"/>
      <c r="F505" s="8"/>
      <c r="H505" s="8"/>
      <c r="K505" s="8"/>
      <c r="S505" s="8"/>
      <c r="W505" s="8"/>
      <c r="X505" s="8"/>
    </row>
    <row r="506" customFormat="false" ht="15" hidden="false" customHeight="false" outlineLevel="0" collapsed="false">
      <c r="E506" s="8"/>
      <c r="F506" s="8"/>
      <c r="H506" s="8"/>
      <c r="K506" s="8"/>
      <c r="S506" s="8"/>
      <c r="W506" s="8"/>
      <c r="X506" s="8"/>
    </row>
    <row r="507" customFormat="false" ht="15" hidden="false" customHeight="false" outlineLevel="0" collapsed="false">
      <c r="E507" s="8"/>
      <c r="F507" s="8"/>
      <c r="H507" s="8"/>
      <c r="K507" s="8"/>
      <c r="S507" s="8"/>
      <c r="W507" s="8"/>
      <c r="X507" s="8"/>
    </row>
    <row r="508" customFormat="false" ht="15" hidden="false" customHeight="false" outlineLevel="0" collapsed="false">
      <c r="E508" s="8"/>
      <c r="F508" s="8"/>
      <c r="H508" s="8"/>
      <c r="K508" s="8"/>
      <c r="S508" s="8"/>
      <c r="W508" s="8"/>
      <c r="X508" s="8"/>
    </row>
    <row r="509" customFormat="false" ht="15" hidden="false" customHeight="false" outlineLevel="0" collapsed="false">
      <c r="E509" s="8"/>
      <c r="F509" s="8"/>
      <c r="H509" s="8"/>
      <c r="K509" s="8"/>
      <c r="S509" s="8"/>
      <c r="W509" s="8"/>
      <c r="X509" s="8"/>
    </row>
    <row r="510" customFormat="false" ht="15" hidden="false" customHeight="false" outlineLevel="0" collapsed="false">
      <c r="E510" s="8"/>
      <c r="F510" s="8"/>
      <c r="H510" s="8"/>
      <c r="K510" s="8"/>
      <c r="S510" s="8"/>
      <c r="W510" s="8"/>
      <c r="X510" s="8"/>
    </row>
    <row r="511" customFormat="false" ht="15" hidden="false" customHeight="false" outlineLevel="0" collapsed="false">
      <c r="E511" s="8"/>
      <c r="F511" s="8"/>
      <c r="H511" s="8"/>
      <c r="K511" s="8"/>
      <c r="S511" s="8"/>
      <c r="W511" s="8"/>
      <c r="X511" s="8"/>
    </row>
    <row r="512" customFormat="false" ht="15" hidden="false" customHeight="false" outlineLevel="0" collapsed="false">
      <c r="E512" s="8"/>
      <c r="F512" s="8"/>
      <c r="H512" s="8"/>
      <c r="K512" s="8"/>
      <c r="S512" s="8"/>
      <c r="W512" s="8"/>
      <c r="X512" s="8"/>
    </row>
    <row r="513" customFormat="false" ht="15" hidden="false" customHeight="false" outlineLevel="0" collapsed="false">
      <c r="E513" s="8"/>
      <c r="F513" s="8"/>
      <c r="H513" s="8"/>
      <c r="K513" s="8"/>
      <c r="S513" s="8"/>
      <c r="W513" s="8"/>
      <c r="X513" s="8"/>
    </row>
    <row r="514" customFormat="false" ht="15" hidden="false" customHeight="false" outlineLevel="0" collapsed="false">
      <c r="E514" s="8"/>
      <c r="F514" s="8"/>
      <c r="H514" s="8"/>
      <c r="K514" s="8"/>
      <c r="S514" s="8"/>
      <c r="W514" s="8"/>
      <c r="X514" s="8"/>
    </row>
    <row r="515" customFormat="false" ht="15" hidden="false" customHeight="false" outlineLevel="0" collapsed="false">
      <c r="E515" s="8"/>
      <c r="F515" s="8"/>
      <c r="H515" s="8"/>
      <c r="K515" s="8"/>
      <c r="S515" s="8"/>
      <c r="W515" s="8"/>
      <c r="X515" s="8"/>
    </row>
    <row r="516" customFormat="false" ht="15" hidden="false" customHeight="false" outlineLevel="0" collapsed="false">
      <c r="E516" s="8"/>
      <c r="F516" s="8"/>
      <c r="H516" s="8"/>
      <c r="K516" s="8"/>
      <c r="S516" s="8"/>
      <c r="W516" s="8"/>
      <c r="X516" s="8"/>
    </row>
    <row r="517" customFormat="false" ht="15" hidden="false" customHeight="false" outlineLevel="0" collapsed="false">
      <c r="E517" s="8"/>
      <c r="F517" s="8"/>
      <c r="H517" s="8"/>
      <c r="K517" s="8"/>
      <c r="S517" s="8"/>
      <c r="W517" s="8"/>
      <c r="X517" s="8"/>
    </row>
    <row r="518" customFormat="false" ht="15" hidden="false" customHeight="false" outlineLevel="0" collapsed="false">
      <c r="E518" s="8"/>
      <c r="F518" s="8"/>
      <c r="H518" s="8"/>
      <c r="K518" s="8"/>
      <c r="S518" s="8"/>
      <c r="W518" s="8"/>
      <c r="X518" s="8"/>
    </row>
    <row r="519" customFormat="false" ht="15" hidden="false" customHeight="false" outlineLevel="0" collapsed="false">
      <c r="E519" s="8"/>
      <c r="F519" s="8"/>
      <c r="H519" s="8"/>
      <c r="K519" s="8"/>
      <c r="S519" s="8"/>
      <c r="W519" s="8"/>
      <c r="X519" s="8"/>
    </row>
    <row r="520" customFormat="false" ht="15" hidden="false" customHeight="false" outlineLevel="0" collapsed="false">
      <c r="E520" s="8"/>
      <c r="F520" s="8"/>
      <c r="H520" s="8"/>
      <c r="K520" s="8"/>
      <c r="S520" s="8"/>
      <c r="W520" s="8"/>
      <c r="X520" s="8"/>
    </row>
    <row r="521" customFormat="false" ht="15" hidden="false" customHeight="false" outlineLevel="0" collapsed="false">
      <c r="E521" s="8"/>
      <c r="F521" s="8"/>
      <c r="H521" s="8"/>
      <c r="K521" s="8"/>
      <c r="S521" s="8"/>
      <c r="W521" s="8"/>
      <c r="X521" s="8"/>
    </row>
    <row r="522" customFormat="false" ht="15" hidden="false" customHeight="false" outlineLevel="0" collapsed="false">
      <c r="E522" s="8"/>
      <c r="F522" s="8"/>
      <c r="H522" s="8"/>
      <c r="K522" s="8"/>
      <c r="S522" s="8"/>
      <c r="W522" s="8"/>
      <c r="X522" s="8"/>
    </row>
    <row r="523" customFormat="false" ht="15" hidden="false" customHeight="false" outlineLevel="0" collapsed="false">
      <c r="E523" s="8"/>
      <c r="F523" s="8"/>
      <c r="H523" s="8"/>
      <c r="K523" s="8"/>
      <c r="S523" s="8"/>
      <c r="W523" s="8"/>
      <c r="X523" s="8"/>
    </row>
    <row r="524" customFormat="false" ht="15" hidden="false" customHeight="false" outlineLevel="0" collapsed="false">
      <c r="E524" s="8"/>
      <c r="F524" s="8"/>
      <c r="H524" s="8"/>
      <c r="K524" s="8"/>
      <c r="S524" s="8"/>
      <c r="W524" s="8"/>
      <c r="X524" s="8"/>
    </row>
    <row r="525" customFormat="false" ht="15" hidden="false" customHeight="false" outlineLevel="0" collapsed="false">
      <c r="E525" s="8"/>
      <c r="F525" s="8"/>
      <c r="H525" s="8"/>
      <c r="K525" s="8"/>
      <c r="S525" s="8"/>
      <c r="W525" s="8"/>
      <c r="X525" s="8"/>
    </row>
    <row r="526" customFormat="false" ht="15" hidden="false" customHeight="false" outlineLevel="0" collapsed="false">
      <c r="E526" s="8"/>
      <c r="F526" s="8"/>
      <c r="H526" s="8"/>
      <c r="K526" s="8"/>
      <c r="S526" s="8"/>
      <c r="W526" s="8"/>
      <c r="X526" s="8"/>
    </row>
    <row r="527" customFormat="false" ht="15" hidden="false" customHeight="false" outlineLevel="0" collapsed="false">
      <c r="E527" s="8"/>
      <c r="F527" s="8"/>
      <c r="H527" s="8"/>
      <c r="K527" s="8"/>
      <c r="S527" s="8"/>
      <c r="W527" s="8"/>
      <c r="X527" s="8"/>
    </row>
    <row r="528" customFormat="false" ht="15" hidden="false" customHeight="false" outlineLevel="0" collapsed="false">
      <c r="E528" s="8"/>
      <c r="F528" s="8"/>
      <c r="H528" s="8"/>
      <c r="K528" s="8"/>
      <c r="S528" s="8"/>
      <c r="W528" s="8"/>
      <c r="X528" s="8"/>
    </row>
    <row r="529" customFormat="false" ht="15" hidden="false" customHeight="false" outlineLevel="0" collapsed="false">
      <c r="E529" s="8"/>
      <c r="F529" s="8"/>
      <c r="H529" s="8"/>
      <c r="K529" s="8"/>
      <c r="S529" s="8"/>
      <c r="W529" s="8"/>
      <c r="X529" s="8"/>
    </row>
    <row r="530" customFormat="false" ht="15" hidden="false" customHeight="false" outlineLevel="0" collapsed="false">
      <c r="E530" s="8"/>
      <c r="F530" s="8"/>
      <c r="H530" s="8"/>
      <c r="K530" s="8"/>
      <c r="S530" s="8"/>
      <c r="W530" s="8"/>
      <c r="X530" s="8"/>
    </row>
    <row r="531" customFormat="false" ht="15" hidden="false" customHeight="false" outlineLevel="0" collapsed="false">
      <c r="E531" s="8"/>
      <c r="F531" s="8"/>
      <c r="H531" s="8"/>
      <c r="K531" s="8"/>
      <c r="S531" s="8"/>
      <c r="W531" s="8"/>
      <c r="X531" s="8"/>
    </row>
    <row r="532" customFormat="false" ht="15" hidden="false" customHeight="false" outlineLevel="0" collapsed="false">
      <c r="E532" s="8"/>
      <c r="F532" s="8"/>
      <c r="H532" s="8"/>
      <c r="K532" s="8"/>
      <c r="S532" s="8"/>
      <c r="W532" s="8"/>
      <c r="X532" s="8"/>
    </row>
    <row r="533" customFormat="false" ht="15" hidden="false" customHeight="false" outlineLevel="0" collapsed="false">
      <c r="E533" s="8"/>
      <c r="F533" s="8"/>
      <c r="H533" s="8"/>
      <c r="K533" s="8"/>
      <c r="S533" s="8"/>
      <c r="W533" s="8"/>
      <c r="X533" s="8"/>
    </row>
    <row r="534" customFormat="false" ht="15" hidden="false" customHeight="false" outlineLevel="0" collapsed="false">
      <c r="E534" s="8"/>
      <c r="F534" s="8"/>
      <c r="H534" s="8"/>
      <c r="K534" s="8"/>
      <c r="S534" s="8"/>
      <c r="W534" s="8"/>
      <c r="X534" s="8"/>
    </row>
    <row r="535" customFormat="false" ht="15" hidden="false" customHeight="false" outlineLevel="0" collapsed="false">
      <c r="E535" s="8"/>
      <c r="F535" s="8"/>
      <c r="H535" s="8"/>
      <c r="K535" s="8"/>
      <c r="S535" s="8"/>
      <c r="W535" s="8"/>
      <c r="X535" s="8"/>
    </row>
    <row r="536" customFormat="false" ht="15" hidden="false" customHeight="false" outlineLevel="0" collapsed="false">
      <c r="E536" s="8"/>
      <c r="F536" s="8"/>
      <c r="H536" s="8"/>
      <c r="K536" s="8"/>
      <c r="S536" s="8"/>
      <c r="W536" s="8"/>
      <c r="X536" s="8"/>
    </row>
    <row r="537" customFormat="false" ht="15" hidden="false" customHeight="false" outlineLevel="0" collapsed="false">
      <c r="E537" s="8"/>
      <c r="F537" s="8"/>
      <c r="H537" s="8"/>
      <c r="K537" s="8"/>
      <c r="S537" s="8"/>
      <c r="W537" s="8"/>
      <c r="X537" s="8"/>
    </row>
    <row r="538" customFormat="false" ht="15" hidden="false" customHeight="false" outlineLevel="0" collapsed="false">
      <c r="E538" s="8"/>
      <c r="F538" s="8"/>
      <c r="H538" s="8"/>
      <c r="K538" s="8"/>
      <c r="S538" s="8"/>
      <c r="W538" s="8"/>
      <c r="X538" s="8"/>
    </row>
    <row r="539" customFormat="false" ht="15" hidden="false" customHeight="false" outlineLevel="0" collapsed="false">
      <c r="E539" s="8"/>
      <c r="F539" s="8"/>
      <c r="H539" s="8"/>
      <c r="K539" s="8"/>
      <c r="S539" s="8"/>
      <c r="W539" s="8"/>
      <c r="X539" s="8"/>
    </row>
    <row r="540" customFormat="false" ht="15" hidden="false" customHeight="false" outlineLevel="0" collapsed="false">
      <c r="E540" s="8"/>
      <c r="F540" s="8"/>
      <c r="H540" s="8"/>
      <c r="K540" s="8"/>
      <c r="S540" s="8"/>
      <c r="W540" s="8"/>
      <c r="X540" s="8"/>
    </row>
    <row r="541" customFormat="false" ht="15" hidden="false" customHeight="false" outlineLevel="0" collapsed="false">
      <c r="E541" s="8"/>
      <c r="F541" s="8"/>
      <c r="H541" s="8"/>
      <c r="K541" s="8"/>
      <c r="S541" s="8"/>
      <c r="W541" s="8"/>
      <c r="X541" s="8"/>
    </row>
    <row r="542" customFormat="false" ht="15" hidden="false" customHeight="false" outlineLevel="0" collapsed="false">
      <c r="E542" s="8"/>
      <c r="F542" s="8"/>
      <c r="H542" s="8"/>
      <c r="K542" s="8"/>
      <c r="S542" s="8"/>
      <c r="W542" s="8"/>
      <c r="X542" s="8"/>
    </row>
    <row r="543" customFormat="false" ht="15" hidden="false" customHeight="false" outlineLevel="0" collapsed="false">
      <c r="E543" s="8"/>
      <c r="F543" s="8"/>
      <c r="H543" s="8"/>
      <c r="K543" s="8"/>
      <c r="S543" s="8"/>
      <c r="W543" s="8"/>
      <c r="X543" s="8"/>
    </row>
    <row r="544" customFormat="false" ht="15" hidden="false" customHeight="false" outlineLevel="0" collapsed="false">
      <c r="E544" s="8"/>
      <c r="F544" s="8"/>
      <c r="H544" s="8"/>
      <c r="K544" s="8"/>
      <c r="S544" s="8"/>
      <c r="W544" s="8"/>
      <c r="X544" s="8"/>
    </row>
    <row r="545" customFormat="false" ht="15" hidden="false" customHeight="false" outlineLevel="0" collapsed="false">
      <c r="E545" s="8"/>
      <c r="F545" s="8"/>
      <c r="H545" s="8"/>
      <c r="K545" s="8"/>
      <c r="S545" s="8"/>
      <c r="W545" s="8"/>
      <c r="X545" s="8"/>
    </row>
    <row r="546" customFormat="false" ht="15" hidden="false" customHeight="false" outlineLevel="0" collapsed="false">
      <c r="E546" s="8"/>
      <c r="F546" s="8"/>
      <c r="H546" s="8"/>
      <c r="K546" s="8"/>
      <c r="S546" s="8"/>
      <c r="W546" s="8"/>
      <c r="X546" s="8"/>
    </row>
    <row r="547" customFormat="false" ht="15" hidden="false" customHeight="false" outlineLevel="0" collapsed="false">
      <c r="E547" s="8"/>
      <c r="F547" s="8"/>
      <c r="H547" s="8"/>
      <c r="K547" s="8"/>
      <c r="S547" s="8"/>
      <c r="W547" s="8"/>
      <c r="X547" s="8"/>
    </row>
    <row r="548" customFormat="false" ht="15" hidden="false" customHeight="false" outlineLevel="0" collapsed="false">
      <c r="E548" s="8"/>
      <c r="F548" s="8"/>
      <c r="H548" s="8"/>
      <c r="K548" s="8"/>
      <c r="S548" s="8"/>
      <c r="W548" s="8"/>
      <c r="X548" s="8"/>
    </row>
    <row r="549" customFormat="false" ht="15" hidden="false" customHeight="false" outlineLevel="0" collapsed="false">
      <c r="E549" s="8"/>
      <c r="F549" s="8"/>
      <c r="H549" s="8"/>
      <c r="K549" s="8"/>
      <c r="S549" s="8"/>
      <c r="W549" s="8"/>
      <c r="X549" s="8"/>
    </row>
    <row r="550" customFormat="false" ht="15" hidden="false" customHeight="false" outlineLevel="0" collapsed="false">
      <c r="E550" s="8"/>
      <c r="F550" s="8"/>
      <c r="H550" s="8"/>
      <c r="K550" s="8"/>
      <c r="S550" s="8"/>
      <c r="W550" s="8"/>
      <c r="X550" s="8"/>
    </row>
    <row r="551" customFormat="false" ht="15" hidden="false" customHeight="false" outlineLevel="0" collapsed="false">
      <c r="E551" s="8"/>
      <c r="F551" s="8"/>
      <c r="H551" s="8"/>
      <c r="K551" s="8"/>
      <c r="S551" s="8"/>
      <c r="W551" s="8"/>
      <c r="X551" s="8"/>
    </row>
    <row r="552" customFormat="false" ht="15" hidden="false" customHeight="false" outlineLevel="0" collapsed="false">
      <c r="E552" s="8"/>
      <c r="F552" s="8"/>
      <c r="H552" s="8"/>
      <c r="K552" s="8"/>
      <c r="S552" s="8"/>
      <c r="W552" s="8"/>
      <c r="X552" s="8"/>
    </row>
    <row r="553" customFormat="false" ht="15" hidden="false" customHeight="false" outlineLevel="0" collapsed="false">
      <c r="E553" s="8"/>
      <c r="F553" s="8"/>
      <c r="H553" s="8"/>
      <c r="K553" s="8"/>
      <c r="S553" s="8"/>
      <c r="W553" s="8"/>
      <c r="X553" s="8"/>
    </row>
    <row r="554" customFormat="false" ht="15" hidden="false" customHeight="false" outlineLevel="0" collapsed="false">
      <c r="E554" s="8"/>
      <c r="F554" s="8"/>
      <c r="H554" s="8"/>
      <c r="K554" s="8"/>
      <c r="S554" s="8"/>
      <c r="W554" s="8"/>
      <c r="X554" s="8"/>
    </row>
    <row r="555" customFormat="false" ht="15" hidden="false" customHeight="false" outlineLevel="0" collapsed="false">
      <c r="E555" s="8"/>
      <c r="F555" s="8"/>
      <c r="H555" s="8"/>
      <c r="K555" s="8"/>
      <c r="S555" s="8"/>
      <c r="W555" s="8"/>
      <c r="X555" s="8"/>
    </row>
    <row r="556" customFormat="false" ht="15" hidden="false" customHeight="false" outlineLevel="0" collapsed="false">
      <c r="E556" s="8"/>
      <c r="F556" s="8"/>
      <c r="H556" s="8"/>
      <c r="K556" s="8"/>
      <c r="S556" s="8"/>
      <c r="W556" s="8"/>
      <c r="X556" s="8"/>
    </row>
    <row r="557" customFormat="false" ht="15" hidden="false" customHeight="false" outlineLevel="0" collapsed="false">
      <c r="E557" s="8"/>
      <c r="F557" s="8"/>
      <c r="H557" s="8"/>
      <c r="K557" s="8"/>
      <c r="S557" s="8"/>
      <c r="W557" s="8"/>
      <c r="X557" s="8"/>
    </row>
    <row r="558" customFormat="false" ht="15" hidden="false" customHeight="false" outlineLevel="0" collapsed="false">
      <c r="E558" s="8"/>
      <c r="F558" s="8"/>
      <c r="H558" s="8"/>
      <c r="K558" s="8"/>
      <c r="S558" s="8"/>
      <c r="W558" s="8"/>
      <c r="X558" s="8"/>
    </row>
    <row r="559" customFormat="false" ht="15" hidden="false" customHeight="false" outlineLevel="0" collapsed="false">
      <c r="E559" s="8"/>
      <c r="F559" s="8"/>
      <c r="H559" s="8"/>
      <c r="K559" s="8"/>
      <c r="S559" s="8"/>
      <c r="W559" s="8"/>
      <c r="X559" s="8"/>
    </row>
    <row r="560" customFormat="false" ht="15" hidden="false" customHeight="false" outlineLevel="0" collapsed="false">
      <c r="E560" s="8"/>
      <c r="F560" s="8"/>
      <c r="H560" s="8"/>
      <c r="K560" s="8"/>
      <c r="S560" s="8"/>
      <c r="W560" s="8"/>
      <c r="X560" s="8"/>
    </row>
    <row r="561" customFormat="false" ht="15" hidden="false" customHeight="false" outlineLevel="0" collapsed="false">
      <c r="E561" s="8"/>
      <c r="F561" s="8"/>
      <c r="H561" s="8"/>
      <c r="K561" s="8"/>
      <c r="S561" s="8"/>
      <c r="W561" s="8"/>
      <c r="X561" s="8"/>
    </row>
    <row r="562" customFormat="false" ht="15" hidden="false" customHeight="false" outlineLevel="0" collapsed="false">
      <c r="E562" s="8"/>
      <c r="F562" s="8"/>
      <c r="H562" s="8"/>
      <c r="K562" s="8"/>
      <c r="S562" s="8"/>
      <c r="W562" s="8"/>
      <c r="X562" s="8"/>
    </row>
    <row r="563" customFormat="false" ht="15" hidden="false" customHeight="false" outlineLevel="0" collapsed="false">
      <c r="E563" s="8"/>
      <c r="F563" s="8"/>
      <c r="H563" s="8"/>
      <c r="K563" s="8"/>
      <c r="S563" s="8"/>
      <c r="W563" s="8"/>
      <c r="X563" s="8"/>
    </row>
    <row r="564" customFormat="false" ht="15" hidden="false" customHeight="false" outlineLevel="0" collapsed="false">
      <c r="E564" s="8"/>
      <c r="F564" s="8"/>
      <c r="H564" s="8"/>
      <c r="K564" s="8"/>
      <c r="S564" s="8"/>
      <c r="W564" s="8"/>
      <c r="X564" s="8"/>
    </row>
    <row r="565" customFormat="false" ht="15" hidden="false" customHeight="false" outlineLevel="0" collapsed="false">
      <c r="E565" s="8"/>
      <c r="F565" s="8"/>
      <c r="H565" s="8"/>
      <c r="K565" s="8"/>
      <c r="S565" s="8"/>
      <c r="W565" s="8"/>
      <c r="X565" s="8"/>
    </row>
    <row r="566" customFormat="false" ht="15" hidden="false" customHeight="false" outlineLevel="0" collapsed="false">
      <c r="E566" s="8"/>
      <c r="F566" s="8"/>
      <c r="H566" s="8"/>
      <c r="K566" s="8"/>
      <c r="S566" s="8"/>
      <c r="W566" s="8"/>
      <c r="X566" s="8"/>
    </row>
    <row r="567" customFormat="false" ht="15" hidden="false" customHeight="false" outlineLevel="0" collapsed="false">
      <c r="E567" s="8"/>
      <c r="F567" s="8"/>
      <c r="H567" s="8"/>
      <c r="K567" s="8"/>
      <c r="S567" s="8"/>
      <c r="W567" s="8"/>
      <c r="X567" s="8"/>
    </row>
    <row r="568" customFormat="false" ht="15" hidden="false" customHeight="false" outlineLevel="0" collapsed="false">
      <c r="E568" s="8"/>
      <c r="F568" s="8"/>
      <c r="H568" s="8"/>
      <c r="K568" s="8"/>
      <c r="S568" s="8"/>
      <c r="W568" s="8"/>
      <c r="X568" s="8"/>
    </row>
    <row r="569" customFormat="false" ht="15" hidden="false" customHeight="false" outlineLevel="0" collapsed="false">
      <c r="E569" s="8"/>
      <c r="F569" s="8"/>
      <c r="H569" s="8"/>
      <c r="K569" s="8"/>
      <c r="S569" s="8"/>
      <c r="W569" s="8"/>
      <c r="X569" s="8"/>
    </row>
    <row r="570" customFormat="false" ht="15" hidden="false" customHeight="false" outlineLevel="0" collapsed="false">
      <c r="E570" s="8"/>
      <c r="F570" s="8"/>
      <c r="H570" s="8"/>
      <c r="K570" s="8"/>
      <c r="S570" s="8"/>
      <c r="W570" s="8"/>
      <c r="X570" s="8"/>
    </row>
    <row r="571" customFormat="false" ht="15" hidden="false" customHeight="false" outlineLevel="0" collapsed="false">
      <c r="E571" s="8"/>
      <c r="F571" s="8"/>
      <c r="H571" s="8"/>
      <c r="K571" s="8"/>
      <c r="S571" s="8"/>
      <c r="W571" s="8"/>
      <c r="X571" s="8"/>
    </row>
    <row r="572" customFormat="false" ht="15" hidden="false" customHeight="false" outlineLevel="0" collapsed="false">
      <c r="E572" s="8"/>
      <c r="F572" s="8"/>
      <c r="H572" s="8"/>
      <c r="K572" s="8"/>
      <c r="S572" s="8"/>
      <c r="W572" s="8"/>
      <c r="X572" s="8"/>
    </row>
    <row r="573" customFormat="false" ht="15" hidden="false" customHeight="false" outlineLevel="0" collapsed="false">
      <c r="E573" s="8"/>
      <c r="F573" s="8"/>
      <c r="H573" s="8"/>
      <c r="K573" s="8"/>
      <c r="S573" s="8"/>
      <c r="W573" s="8"/>
      <c r="X573" s="8"/>
    </row>
    <row r="574" customFormat="false" ht="15" hidden="false" customHeight="false" outlineLevel="0" collapsed="false">
      <c r="E574" s="8"/>
      <c r="F574" s="8"/>
      <c r="H574" s="8"/>
      <c r="K574" s="8"/>
      <c r="S574" s="8"/>
      <c r="W574" s="8"/>
      <c r="X574" s="8"/>
    </row>
    <row r="575" customFormat="false" ht="15" hidden="false" customHeight="false" outlineLevel="0" collapsed="false">
      <c r="E575" s="8"/>
      <c r="F575" s="8"/>
      <c r="H575" s="8"/>
      <c r="K575" s="8"/>
      <c r="S575" s="8"/>
      <c r="W575" s="8"/>
      <c r="X575" s="8"/>
    </row>
    <row r="576" customFormat="false" ht="15" hidden="false" customHeight="false" outlineLevel="0" collapsed="false">
      <c r="E576" s="8"/>
      <c r="F576" s="8"/>
      <c r="H576" s="8"/>
      <c r="K576" s="8"/>
      <c r="S576" s="8"/>
      <c r="W576" s="8"/>
      <c r="X576" s="8"/>
    </row>
    <row r="577" customFormat="false" ht="15" hidden="false" customHeight="false" outlineLevel="0" collapsed="false">
      <c r="E577" s="8"/>
      <c r="F577" s="8"/>
      <c r="H577" s="8"/>
      <c r="K577" s="8"/>
      <c r="S577" s="8"/>
      <c r="W577" s="8"/>
      <c r="X577" s="8"/>
    </row>
    <row r="578" customFormat="false" ht="15" hidden="false" customHeight="false" outlineLevel="0" collapsed="false">
      <c r="E578" s="8"/>
      <c r="F578" s="8"/>
      <c r="H578" s="8"/>
      <c r="K578" s="8"/>
      <c r="S578" s="8"/>
      <c r="W578" s="8"/>
      <c r="X578" s="8"/>
    </row>
    <row r="579" customFormat="false" ht="15" hidden="false" customHeight="false" outlineLevel="0" collapsed="false">
      <c r="E579" s="8"/>
      <c r="F579" s="8"/>
      <c r="H579" s="8"/>
      <c r="K579" s="8"/>
      <c r="S579" s="8"/>
      <c r="W579" s="8"/>
      <c r="X579" s="8"/>
    </row>
    <row r="580" customFormat="false" ht="15" hidden="false" customHeight="false" outlineLevel="0" collapsed="false">
      <c r="E580" s="8"/>
      <c r="F580" s="8"/>
      <c r="H580" s="8"/>
      <c r="K580" s="8"/>
      <c r="S580" s="8"/>
      <c r="W580" s="8"/>
      <c r="X580" s="8"/>
    </row>
    <row r="581" customFormat="false" ht="15" hidden="false" customHeight="false" outlineLevel="0" collapsed="false">
      <c r="E581" s="8"/>
      <c r="F581" s="8"/>
      <c r="H581" s="8"/>
      <c r="K581" s="8"/>
      <c r="S581" s="8"/>
      <c r="W581" s="8"/>
      <c r="X581" s="8"/>
    </row>
    <row r="582" customFormat="false" ht="15" hidden="false" customHeight="false" outlineLevel="0" collapsed="false">
      <c r="E582" s="8"/>
      <c r="F582" s="8"/>
      <c r="H582" s="8"/>
      <c r="K582" s="8"/>
      <c r="S582" s="8"/>
      <c r="W582" s="8"/>
      <c r="X582" s="8"/>
    </row>
    <row r="583" customFormat="false" ht="15" hidden="false" customHeight="false" outlineLevel="0" collapsed="false">
      <c r="E583" s="8"/>
      <c r="F583" s="8"/>
      <c r="H583" s="8"/>
      <c r="K583" s="8"/>
      <c r="S583" s="8"/>
      <c r="W583" s="8"/>
      <c r="X583" s="8"/>
    </row>
    <row r="584" customFormat="false" ht="15" hidden="false" customHeight="false" outlineLevel="0" collapsed="false">
      <c r="E584" s="8"/>
      <c r="F584" s="8"/>
      <c r="H584" s="8"/>
      <c r="K584" s="8"/>
      <c r="S584" s="8"/>
      <c r="W584" s="8"/>
      <c r="X584" s="8"/>
    </row>
    <row r="585" customFormat="false" ht="15" hidden="false" customHeight="false" outlineLevel="0" collapsed="false">
      <c r="E585" s="8"/>
      <c r="F585" s="8"/>
      <c r="H585" s="8"/>
      <c r="K585" s="8"/>
      <c r="S585" s="8"/>
      <c r="W585" s="8"/>
      <c r="X585" s="8"/>
    </row>
    <row r="586" customFormat="false" ht="15" hidden="false" customHeight="false" outlineLevel="0" collapsed="false">
      <c r="E586" s="8"/>
      <c r="F586" s="8"/>
      <c r="H586" s="8"/>
      <c r="K586" s="8"/>
      <c r="S586" s="8"/>
      <c r="W586" s="8"/>
      <c r="X586" s="8"/>
    </row>
    <row r="587" customFormat="false" ht="15" hidden="false" customHeight="false" outlineLevel="0" collapsed="false">
      <c r="E587" s="8"/>
      <c r="F587" s="8"/>
      <c r="H587" s="8"/>
      <c r="K587" s="8"/>
      <c r="S587" s="8"/>
      <c r="W587" s="8"/>
      <c r="X587" s="8"/>
    </row>
    <row r="588" customFormat="false" ht="15" hidden="false" customHeight="false" outlineLevel="0" collapsed="false">
      <c r="E588" s="8"/>
      <c r="F588" s="8"/>
      <c r="H588" s="8"/>
      <c r="K588" s="8"/>
      <c r="S588" s="8"/>
      <c r="W588" s="8"/>
      <c r="X588" s="8"/>
    </row>
    <row r="589" customFormat="false" ht="15" hidden="false" customHeight="false" outlineLevel="0" collapsed="false">
      <c r="E589" s="8"/>
      <c r="F589" s="8"/>
      <c r="H589" s="8"/>
      <c r="K589" s="8"/>
      <c r="S589" s="8"/>
      <c r="W589" s="8"/>
      <c r="X589" s="8"/>
    </row>
    <row r="590" customFormat="false" ht="15" hidden="false" customHeight="false" outlineLevel="0" collapsed="false">
      <c r="E590" s="8"/>
      <c r="F590" s="8"/>
      <c r="H590" s="8"/>
      <c r="K590" s="8"/>
      <c r="S590" s="8"/>
      <c r="W590" s="8"/>
      <c r="X590" s="8"/>
    </row>
    <row r="591" customFormat="false" ht="15" hidden="false" customHeight="false" outlineLevel="0" collapsed="false">
      <c r="E591" s="8"/>
      <c r="F591" s="8"/>
      <c r="H591" s="8"/>
      <c r="K591" s="8"/>
      <c r="S591" s="8"/>
      <c r="W591" s="8"/>
      <c r="X591" s="8"/>
    </row>
    <row r="592" customFormat="false" ht="15" hidden="false" customHeight="false" outlineLevel="0" collapsed="false">
      <c r="E592" s="8"/>
      <c r="F592" s="8"/>
      <c r="H592" s="8"/>
      <c r="K592" s="8"/>
      <c r="S592" s="8"/>
      <c r="W592" s="8"/>
      <c r="X592" s="8"/>
    </row>
    <row r="593" customFormat="false" ht="15" hidden="false" customHeight="false" outlineLevel="0" collapsed="false">
      <c r="E593" s="8"/>
      <c r="F593" s="8"/>
      <c r="H593" s="8"/>
      <c r="K593" s="8"/>
      <c r="S593" s="8"/>
      <c r="W593" s="8"/>
      <c r="X593" s="8"/>
    </row>
    <row r="594" customFormat="false" ht="15" hidden="false" customHeight="false" outlineLevel="0" collapsed="false">
      <c r="E594" s="8"/>
      <c r="F594" s="8"/>
      <c r="H594" s="8"/>
      <c r="K594" s="8"/>
      <c r="S594" s="8"/>
      <c r="W594" s="8"/>
      <c r="X594" s="8"/>
    </row>
    <row r="595" customFormat="false" ht="15" hidden="false" customHeight="false" outlineLevel="0" collapsed="false">
      <c r="E595" s="8"/>
      <c r="F595" s="8"/>
      <c r="H595" s="8"/>
      <c r="K595" s="8"/>
      <c r="S595" s="8"/>
      <c r="W595" s="8"/>
      <c r="X595" s="8"/>
    </row>
    <row r="596" customFormat="false" ht="15" hidden="false" customHeight="false" outlineLevel="0" collapsed="false">
      <c r="E596" s="8"/>
      <c r="F596" s="8"/>
      <c r="H596" s="8"/>
      <c r="K596" s="8"/>
      <c r="S596" s="8"/>
      <c r="W596" s="8"/>
      <c r="X596" s="8"/>
    </row>
    <row r="597" customFormat="false" ht="15" hidden="false" customHeight="false" outlineLevel="0" collapsed="false">
      <c r="E597" s="8"/>
      <c r="F597" s="8"/>
      <c r="H597" s="8"/>
      <c r="K597" s="8"/>
      <c r="S597" s="8"/>
      <c r="W597" s="8"/>
      <c r="X597" s="8"/>
    </row>
    <row r="598" customFormat="false" ht="15" hidden="false" customHeight="false" outlineLevel="0" collapsed="false">
      <c r="E598" s="8"/>
      <c r="F598" s="8"/>
      <c r="H598" s="8"/>
      <c r="K598" s="8"/>
      <c r="S598" s="8"/>
      <c r="W598" s="8"/>
      <c r="X598" s="8"/>
    </row>
    <row r="599" customFormat="false" ht="15" hidden="false" customHeight="false" outlineLevel="0" collapsed="false">
      <c r="E599" s="8"/>
      <c r="F599" s="8"/>
      <c r="H599" s="8"/>
      <c r="K599" s="8"/>
      <c r="S599" s="8"/>
      <c r="W599" s="8"/>
      <c r="X599" s="8"/>
    </row>
    <row r="600" customFormat="false" ht="15" hidden="false" customHeight="false" outlineLevel="0" collapsed="false">
      <c r="E600" s="8"/>
      <c r="F600" s="8"/>
      <c r="H600" s="8"/>
      <c r="K600" s="8"/>
      <c r="S600" s="8"/>
      <c r="W600" s="8"/>
      <c r="X600" s="8"/>
    </row>
    <row r="601" customFormat="false" ht="15" hidden="false" customHeight="false" outlineLevel="0" collapsed="false">
      <c r="E601" s="8"/>
      <c r="F601" s="8"/>
      <c r="H601" s="8"/>
      <c r="K601" s="8"/>
      <c r="S601" s="8"/>
      <c r="W601" s="8"/>
      <c r="X601" s="8"/>
    </row>
    <row r="602" customFormat="false" ht="15" hidden="false" customHeight="false" outlineLevel="0" collapsed="false">
      <c r="E602" s="8"/>
      <c r="F602" s="8"/>
      <c r="H602" s="8"/>
      <c r="K602" s="8"/>
      <c r="S602" s="8"/>
      <c r="W602" s="8"/>
      <c r="X602" s="8"/>
    </row>
    <row r="603" customFormat="false" ht="15" hidden="false" customHeight="false" outlineLevel="0" collapsed="false">
      <c r="E603" s="8"/>
      <c r="F603" s="8"/>
      <c r="H603" s="8"/>
      <c r="K603" s="8"/>
      <c r="S603" s="8"/>
      <c r="W603" s="8"/>
      <c r="X603" s="8"/>
    </row>
    <row r="604" customFormat="false" ht="15" hidden="false" customHeight="false" outlineLevel="0" collapsed="false">
      <c r="E604" s="8"/>
      <c r="F604" s="8"/>
      <c r="H604" s="8"/>
      <c r="K604" s="8"/>
      <c r="S604" s="8"/>
      <c r="W604" s="8"/>
      <c r="X604" s="8"/>
    </row>
    <row r="605" customFormat="false" ht="15" hidden="false" customHeight="false" outlineLevel="0" collapsed="false">
      <c r="E605" s="8"/>
      <c r="F605" s="8"/>
      <c r="H605" s="8"/>
      <c r="K605" s="8"/>
      <c r="S605" s="8"/>
      <c r="W605" s="8"/>
      <c r="X605" s="8"/>
    </row>
    <row r="606" customFormat="false" ht="15" hidden="false" customHeight="false" outlineLevel="0" collapsed="false">
      <c r="E606" s="8"/>
      <c r="F606" s="8"/>
      <c r="H606" s="8"/>
      <c r="K606" s="8"/>
      <c r="S606" s="8"/>
      <c r="W606" s="8"/>
      <c r="X606" s="8"/>
    </row>
    <row r="607" customFormat="false" ht="15" hidden="false" customHeight="false" outlineLevel="0" collapsed="false">
      <c r="E607" s="8"/>
      <c r="F607" s="8"/>
      <c r="H607" s="8"/>
      <c r="K607" s="8"/>
      <c r="S607" s="8"/>
      <c r="W607" s="8"/>
      <c r="X607" s="8"/>
    </row>
    <row r="608" customFormat="false" ht="15" hidden="false" customHeight="false" outlineLevel="0" collapsed="false">
      <c r="E608" s="8"/>
      <c r="F608" s="8"/>
      <c r="H608" s="8"/>
      <c r="K608" s="8"/>
      <c r="S608" s="8"/>
      <c r="W608" s="8"/>
      <c r="X608" s="8"/>
    </row>
    <row r="609" customFormat="false" ht="15" hidden="false" customHeight="false" outlineLevel="0" collapsed="false">
      <c r="E609" s="8"/>
      <c r="F609" s="8"/>
      <c r="H609" s="8"/>
      <c r="K609" s="8"/>
      <c r="S609" s="8"/>
      <c r="W609" s="8"/>
      <c r="X609" s="8"/>
    </row>
    <row r="610" customFormat="false" ht="15" hidden="false" customHeight="false" outlineLevel="0" collapsed="false">
      <c r="E610" s="8"/>
      <c r="F610" s="8"/>
      <c r="H610" s="8"/>
      <c r="K610" s="8"/>
      <c r="S610" s="8"/>
      <c r="W610" s="8"/>
      <c r="X610" s="8"/>
    </row>
    <row r="611" customFormat="false" ht="15" hidden="false" customHeight="false" outlineLevel="0" collapsed="false">
      <c r="E611" s="8"/>
      <c r="F611" s="8"/>
      <c r="H611" s="8"/>
      <c r="K611" s="8"/>
      <c r="S611" s="8"/>
      <c r="W611" s="8"/>
      <c r="X611" s="8"/>
    </row>
    <row r="612" customFormat="false" ht="15" hidden="false" customHeight="false" outlineLevel="0" collapsed="false">
      <c r="E612" s="8"/>
      <c r="F612" s="8"/>
      <c r="H612" s="8"/>
      <c r="K612" s="8"/>
      <c r="S612" s="8"/>
      <c r="W612" s="8"/>
      <c r="X612" s="8"/>
    </row>
    <row r="613" customFormat="false" ht="15" hidden="false" customHeight="false" outlineLevel="0" collapsed="false">
      <c r="E613" s="8"/>
      <c r="F613" s="8"/>
      <c r="H613" s="8"/>
      <c r="K613" s="8"/>
      <c r="S613" s="8"/>
      <c r="W613" s="8"/>
      <c r="X613" s="8"/>
    </row>
    <row r="614" customFormat="false" ht="15" hidden="false" customHeight="false" outlineLevel="0" collapsed="false">
      <c r="E614" s="8"/>
      <c r="F614" s="8"/>
      <c r="H614" s="8"/>
      <c r="K614" s="8"/>
      <c r="S614" s="8"/>
      <c r="W614" s="8"/>
      <c r="X614" s="8"/>
    </row>
    <row r="615" customFormat="false" ht="15" hidden="false" customHeight="false" outlineLevel="0" collapsed="false">
      <c r="E615" s="8"/>
      <c r="F615" s="8"/>
      <c r="H615" s="8"/>
      <c r="K615" s="8"/>
      <c r="S615" s="8"/>
      <c r="W615" s="8"/>
      <c r="X615" s="8"/>
    </row>
    <row r="616" customFormat="false" ht="15" hidden="false" customHeight="false" outlineLevel="0" collapsed="false">
      <c r="E616" s="8"/>
      <c r="F616" s="8"/>
      <c r="H616" s="8"/>
      <c r="K616" s="8"/>
      <c r="S616" s="8"/>
      <c r="W616" s="8"/>
      <c r="X616" s="8"/>
    </row>
    <row r="617" customFormat="false" ht="15" hidden="false" customHeight="false" outlineLevel="0" collapsed="false">
      <c r="E617" s="8"/>
      <c r="F617" s="8"/>
      <c r="H617" s="8"/>
      <c r="K617" s="8"/>
      <c r="S617" s="8"/>
      <c r="W617" s="8"/>
      <c r="X617" s="8"/>
    </row>
    <row r="618" customFormat="false" ht="15" hidden="false" customHeight="false" outlineLevel="0" collapsed="false">
      <c r="E618" s="8"/>
      <c r="F618" s="8"/>
      <c r="H618" s="8"/>
      <c r="K618" s="8"/>
      <c r="S618" s="8"/>
      <c r="W618" s="8"/>
      <c r="X618" s="8"/>
    </row>
    <row r="619" customFormat="false" ht="15" hidden="false" customHeight="false" outlineLevel="0" collapsed="false">
      <c r="E619" s="8"/>
      <c r="F619" s="8"/>
      <c r="H619" s="8"/>
      <c r="K619" s="8"/>
      <c r="S619" s="8"/>
      <c r="W619" s="8"/>
      <c r="X619" s="8"/>
    </row>
    <row r="620" customFormat="false" ht="15" hidden="false" customHeight="false" outlineLevel="0" collapsed="false">
      <c r="E620" s="8"/>
      <c r="F620" s="8"/>
      <c r="H620" s="8"/>
      <c r="K620" s="8"/>
      <c r="S620" s="8"/>
      <c r="W620" s="8"/>
      <c r="X620" s="8"/>
    </row>
    <row r="621" customFormat="false" ht="15" hidden="false" customHeight="false" outlineLevel="0" collapsed="false">
      <c r="E621" s="8"/>
      <c r="F621" s="8"/>
      <c r="H621" s="8"/>
      <c r="K621" s="8"/>
      <c r="S621" s="8"/>
      <c r="W621" s="8"/>
      <c r="X621" s="8"/>
    </row>
    <row r="622" customFormat="false" ht="15" hidden="false" customHeight="false" outlineLevel="0" collapsed="false">
      <c r="E622" s="8"/>
      <c r="F622" s="8"/>
      <c r="H622" s="8"/>
      <c r="K622" s="8"/>
      <c r="S622" s="8"/>
      <c r="W622" s="8"/>
      <c r="X622" s="8"/>
    </row>
    <row r="623" customFormat="false" ht="15" hidden="false" customHeight="false" outlineLevel="0" collapsed="false">
      <c r="E623" s="8"/>
      <c r="F623" s="8"/>
      <c r="H623" s="8"/>
      <c r="K623" s="8"/>
      <c r="S623" s="8"/>
      <c r="W623" s="8"/>
      <c r="X623" s="8"/>
    </row>
    <row r="624" customFormat="false" ht="15" hidden="false" customHeight="false" outlineLevel="0" collapsed="false">
      <c r="E624" s="8"/>
      <c r="F624" s="8"/>
      <c r="H624" s="8"/>
      <c r="K624" s="8"/>
      <c r="S624" s="8"/>
      <c r="W624" s="8"/>
      <c r="X624" s="8"/>
    </row>
    <row r="625" customFormat="false" ht="15" hidden="false" customHeight="false" outlineLevel="0" collapsed="false">
      <c r="E625" s="8"/>
      <c r="F625" s="8"/>
      <c r="H625" s="8"/>
      <c r="K625" s="8"/>
      <c r="S625" s="8"/>
      <c r="W625" s="8"/>
      <c r="X625" s="8"/>
    </row>
    <row r="626" customFormat="false" ht="15" hidden="false" customHeight="false" outlineLevel="0" collapsed="false">
      <c r="E626" s="8"/>
      <c r="F626" s="8"/>
      <c r="H626" s="8"/>
      <c r="K626" s="8"/>
      <c r="S626" s="8"/>
      <c r="W626" s="8"/>
      <c r="X626" s="8"/>
    </row>
    <row r="627" customFormat="false" ht="15" hidden="false" customHeight="false" outlineLevel="0" collapsed="false">
      <c r="E627" s="8"/>
      <c r="F627" s="8"/>
      <c r="H627" s="8"/>
      <c r="K627" s="8"/>
      <c r="S627" s="8"/>
      <c r="W627" s="8"/>
      <c r="X627" s="8"/>
    </row>
    <row r="628" customFormat="false" ht="15" hidden="false" customHeight="false" outlineLevel="0" collapsed="false">
      <c r="E628" s="8"/>
      <c r="F628" s="8"/>
      <c r="H628" s="8"/>
      <c r="K628" s="8"/>
      <c r="S628" s="8"/>
      <c r="W628" s="8"/>
      <c r="X628" s="8"/>
    </row>
    <row r="629" customFormat="false" ht="15" hidden="false" customHeight="false" outlineLevel="0" collapsed="false">
      <c r="E629" s="8"/>
      <c r="F629" s="8"/>
      <c r="H629" s="8"/>
      <c r="K629" s="8"/>
      <c r="S629" s="8"/>
      <c r="W629" s="8"/>
      <c r="X629" s="8"/>
    </row>
    <row r="630" customFormat="false" ht="15" hidden="false" customHeight="false" outlineLevel="0" collapsed="false">
      <c r="E630" s="8"/>
      <c r="F630" s="8"/>
      <c r="H630" s="8"/>
      <c r="K630" s="8"/>
      <c r="S630" s="8"/>
      <c r="W630" s="8"/>
      <c r="X630" s="8"/>
    </row>
    <row r="631" customFormat="false" ht="15" hidden="false" customHeight="false" outlineLevel="0" collapsed="false">
      <c r="E631" s="8"/>
      <c r="F631" s="8"/>
      <c r="H631" s="8"/>
      <c r="K631" s="8"/>
      <c r="S631" s="8"/>
      <c r="W631" s="8"/>
      <c r="X631" s="8"/>
    </row>
    <row r="632" customFormat="false" ht="15" hidden="false" customHeight="false" outlineLevel="0" collapsed="false">
      <c r="E632" s="8"/>
      <c r="F632" s="8"/>
      <c r="H632" s="8"/>
      <c r="K632" s="8"/>
      <c r="S632" s="8"/>
      <c r="W632" s="8"/>
      <c r="X632" s="8"/>
    </row>
    <row r="633" customFormat="false" ht="15" hidden="false" customHeight="false" outlineLevel="0" collapsed="false">
      <c r="E633" s="8"/>
      <c r="F633" s="8"/>
      <c r="H633" s="8"/>
      <c r="K633" s="8"/>
      <c r="S633" s="8"/>
      <c r="W633" s="8"/>
      <c r="X633" s="8"/>
    </row>
    <row r="634" customFormat="false" ht="15" hidden="false" customHeight="false" outlineLevel="0" collapsed="false">
      <c r="E634" s="8"/>
      <c r="F634" s="8"/>
      <c r="H634" s="8"/>
      <c r="K634" s="8"/>
      <c r="S634" s="8"/>
      <c r="W634" s="8"/>
      <c r="X634" s="8"/>
    </row>
    <row r="635" customFormat="false" ht="15" hidden="false" customHeight="false" outlineLevel="0" collapsed="false">
      <c r="E635" s="8"/>
      <c r="F635" s="8"/>
      <c r="H635" s="8"/>
      <c r="K635" s="8"/>
      <c r="S635" s="8"/>
      <c r="W635" s="8"/>
      <c r="X635" s="8"/>
    </row>
    <row r="636" customFormat="false" ht="15" hidden="false" customHeight="false" outlineLevel="0" collapsed="false">
      <c r="E636" s="8"/>
      <c r="F636" s="8"/>
      <c r="H636" s="8"/>
      <c r="K636" s="8"/>
      <c r="S636" s="8"/>
      <c r="W636" s="8"/>
      <c r="X636" s="8"/>
    </row>
    <row r="637" customFormat="false" ht="15" hidden="false" customHeight="false" outlineLevel="0" collapsed="false">
      <c r="E637" s="8"/>
      <c r="F637" s="8"/>
      <c r="H637" s="8"/>
      <c r="K637" s="8"/>
      <c r="S637" s="8"/>
      <c r="W637" s="8"/>
      <c r="X637" s="8"/>
    </row>
    <row r="638" customFormat="false" ht="15" hidden="false" customHeight="false" outlineLevel="0" collapsed="false">
      <c r="E638" s="8"/>
      <c r="F638" s="8"/>
      <c r="H638" s="8"/>
      <c r="K638" s="8"/>
      <c r="S638" s="8"/>
      <c r="W638" s="8"/>
      <c r="X638" s="8"/>
    </row>
    <row r="639" customFormat="false" ht="15" hidden="false" customHeight="false" outlineLevel="0" collapsed="false">
      <c r="E639" s="8"/>
      <c r="F639" s="8"/>
      <c r="H639" s="8"/>
      <c r="K639" s="8"/>
      <c r="S639" s="8"/>
      <c r="W639" s="8"/>
      <c r="X639" s="8"/>
    </row>
    <row r="640" customFormat="false" ht="15" hidden="false" customHeight="false" outlineLevel="0" collapsed="false">
      <c r="E640" s="8"/>
      <c r="F640" s="8"/>
      <c r="H640" s="8"/>
      <c r="K640" s="8"/>
      <c r="S640" s="8"/>
      <c r="W640" s="8"/>
      <c r="X640" s="8"/>
    </row>
    <row r="641" customFormat="false" ht="15" hidden="false" customHeight="false" outlineLevel="0" collapsed="false">
      <c r="E641" s="8"/>
      <c r="F641" s="8"/>
      <c r="H641" s="8"/>
      <c r="K641" s="8"/>
      <c r="S641" s="8"/>
      <c r="W641" s="8"/>
      <c r="X641" s="8"/>
    </row>
    <row r="642" customFormat="false" ht="15" hidden="false" customHeight="false" outlineLevel="0" collapsed="false">
      <c r="E642" s="8"/>
      <c r="F642" s="8"/>
      <c r="H642" s="8"/>
      <c r="K642" s="8"/>
      <c r="S642" s="8"/>
      <c r="W642" s="8"/>
      <c r="X642" s="8"/>
    </row>
    <row r="643" customFormat="false" ht="15" hidden="false" customHeight="false" outlineLevel="0" collapsed="false">
      <c r="E643" s="8"/>
      <c r="F643" s="8"/>
      <c r="H643" s="8"/>
      <c r="K643" s="8"/>
      <c r="S643" s="8"/>
      <c r="W643" s="8"/>
      <c r="X643" s="8"/>
    </row>
    <row r="644" customFormat="false" ht="15" hidden="false" customHeight="false" outlineLevel="0" collapsed="false">
      <c r="E644" s="8"/>
      <c r="F644" s="8"/>
      <c r="H644" s="8"/>
      <c r="K644" s="8"/>
      <c r="S644" s="8"/>
      <c r="W644" s="8"/>
      <c r="X644" s="8"/>
    </row>
    <row r="645" customFormat="false" ht="15" hidden="false" customHeight="false" outlineLevel="0" collapsed="false">
      <c r="E645" s="8"/>
      <c r="F645" s="8"/>
      <c r="H645" s="8"/>
      <c r="K645" s="8"/>
      <c r="S645" s="8"/>
      <c r="W645" s="8"/>
      <c r="X645" s="8"/>
    </row>
    <row r="646" customFormat="false" ht="15" hidden="false" customHeight="false" outlineLevel="0" collapsed="false">
      <c r="E646" s="8"/>
      <c r="F646" s="8"/>
      <c r="H646" s="8"/>
      <c r="K646" s="8"/>
      <c r="S646" s="8"/>
      <c r="W646" s="8"/>
      <c r="X646" s="8"/>
    </row>
    <row r="647" customFormat="false" ht="15" hidden="false" customHeight="false" outlineLevel="0" collapsed="false">
      <c r="E647" s="8"/>
      <c r="F647" s="8"/>
      <c r="H647" s="8"/>
      <c r="K647" s="8"/>
      <c r="S647" s="8"/>
      <c r="W647" s="8"/>
      <c r="X647" s="8"/>
    </row>
    <row r="648" customFormat="false" ht="15" hidden="false" customHeight="false" outlineLevel="0" collapsed="false">
      <c r="E648" s="8"/>
      <c r="F648" s="8"/>
      <c r="H648" s="8"/>
      <c r="K648" s="8"/>
      <c r="S648" s="8"/>
      <c r="W648" s="8"/>
      <c r="X648" s="8"/>
    </row>
    <row r="649" customFormat="false" ht="15" hidden="false" customHeight="false" outlineLevel="0" collapsed="false">
      <c r="E649" s="8"/>
      <c r="F649" s="8"/>
      <c r="H649" s="8"/>
      <c r="K649" s="8"/>
      <c r="S649" s="8"/>
      <c r="W649" s="8"/>
      <c r="X649" s="8"/>
    </row>
    <row r="650" customFormat="false" ht="15" hidden="false" customHeight="false" outlineLevel="0" collapsed="false">
      <c r="E650" s="8"/>
      <c r="F650" s="8"/>
      <c r="H650" s="8"/>
      <c r="K650" s="8"/>
      <c r="S650" s="8"/>
      <c r="W650" s="8"/>
      <c r="X650" s="8"/>
    </row>
    <row r="651" customFormat="false" ht="15" hidden="false" customHeight="false" outlineLevel="0" collapsed="false">
      <c r="E651" s="8"/>
      <c r="F651" s="8"/>
      <c r="H651" s="8"/>
      <c r="K651" s="8"/>
      <c r="S651" s="8"/>
      <c r="W651" s="8"/>
      <c r="X651" s="8"/>
    </row>
    <row r="652" customFormat="false" ht="15" hidden="false" customHeight="false" outlineLevel="0" collapsed="false">
      <c r="E652" s="8"/>
      <c r="F652" s="8"/>
      <c r="H652" s="8"/>
      <c r="K652" s="8"/>
      <c r="S652" s="8"/>
      <c r="W652" s="8"/>
      <c r="X652" s="8"/>
    </row>
    <row r="653" customFormat="false" ht="15" hidden="false" customHeight="false" outlineLevel="0" collapsed="false">
      <c r="E653" s="8"/>
      <c r="F653" s="8"/>
      <c r="H653" s="8"/>
      <c r="K653" s="8"/>
      <c r="S653" s="8"/>
      <c r="W653" s="8"/>
      <c r="X653" s="8"/>
    </row>
    <row r="654" customFormat="false" ht="15" hidden="false" customHeight="false" outlineLevel="0" collapsed="false">
      <c r="E654" s="8"/>
      <c r="F654" s="8"/>
      <c r="H654" s="8"/>
      <c r="K654" s="8"/>
      <c r="S654" s="8"/>
      <c r="W654" s="8"/>
      <c r="X654" s="8"/>
    </row>
    <row r="655" customFormat="false" ht="15" hidden="false" customHeight="false" outlineLevel="0" collapsed="false">
      <c r="E655" s="8"/>
      <c r="F655" s="8"/>
      <c r="H655" s="8"/>
      <c r="K655" s="8"/>
      <c r="S655" s="8"/>
      <c r="W655" s="8"/>
      <c r="X655" s="8"/>
    </row>
    <row r="656" customFormat="false" ht="15" hidden="false" customHeight="false" outlineLevel="0" collapsed="false">
      <c r="E656" s="8"/>
      <c r="F656" s="8"/>
      <c r="H656" s="8"/>
      <c r="K656" s="8"/>
      <c r="S656" s="8"/>
      <c r="W656" s="8"/>
      <c r="X656" s="8"/>
    </row>
    <row r="657" customFormat="false" ht="15" hidden="false" customHeight="false" outlineLevel="0" collapsed="false">
      <c r="E657" s="8"/>
      <c r="F657" s="8"/>
      <c r="H657" s="8"/>
      <c r="K657" s="8"/>
      <c r="S657" s="8"/>
      <c r="W657" s="8"/>
      <c r="X657" s="8"/>
    </row>
    <row r="658" customFormat="false" ht="15" hidden="false" customHeight="false" outlineLevel="0" collapsed="false">
      <c r="E658" s="8"/>
      <c r="F658" s="8"/>
      <c r="H658" s="8"/>
      <c r="K658" s="8"/>
      <c r="S658" s="8"/>
      <c r="W658" s="8"/>
      <c r="X658" s="8"/>
    </row>
    <row r="659" customFormat="false" ht="15" hidden="false" customHeight="false" outlineLevel="0" collapsed="false">
      <c r="E659" s="8"/>
      <c r="F659" s="8"/>
      <c r="H659" s="8"/>
      <c r="K659" s="8"/>
      <c r="S659" s="8"/>
      <c r="W659" s="8"/>
      <c r="X659" s="8"/>
    </row>
    <row r="660" customFormat="false" ht="15" hidden="false" customHeight="false" outlineLevel="0" collapsed="false">
      <c r="E660" s="8"/>
      <c r="F660" s="8"/>
      <c r="H660" s="8"/>
      <c r="K660" s="8"/>
      <c r="S660" s="8"/>
      <c r="W660" s="8"/>
      <c r="X660" s="8"/>
    </row>
    <row r="661" customFormat="false" ht="15" hidden="false" customHeight="false" outlineLevel="0" collapsed="false">
      <c r="E661" s="8"/>
      <c r="F661" s="8"/>
      <c r="H661" s="8"/>
      <c r="K661" s="8"/>
      <c r="S661" s="8"/>
      <c r="W661" s="8"/>
      <c r="X661" s="8"/>
    </row>
    <row r="662" customFormat="false" ht="15" hidden="false" customHeight="false" outlineLevel="0" collapsed="false">
      <c r="E662" s="8"/>
      <c r="F662" s="8"/>
      <c r="H662" s="8"/>
      <c r="K662" s="8"/>
      <c r="S662" s="8"/>
      <c r="W662" s="8"/>
      <c r="X662" s="8"/>
    </row>
    <row r="663" customFormat="false" ht="15" hidden="false" customHeight="false" outlineLevel="0" collapsed="false">
      <c r="E663" s="8"/>
      <c r="F663" s="8"/>
      <c r="H663" s="8"/>
      <c r="K663" s="8"/>
      <c r="S663" s="8"/>
      <c r="W663" s="8"/>
      <c r="X663" s="8"/>
    </row>
    <row r="664" customFormat="false" ht="15" hidden="false" customHeight="false" outlineLevel="0" collapsed="false">
      <c r="E664" s="8"/>
      <c r="F664" s="8"/>
      <c r="H664" s="8"/>
      <c r="K664" s="8"/>
      <c r="S664" s="8"/>
      <c r="W664" s="8"/>
      <c r="X664" s="8"/>
    </row>
    <row r="665" customFormat="false" ht="15" hidden="false" customHeight="false" outlineLevel="0" collapsed="false">
      <c r="E665" s="8"/>
      <c r="F665" s="8"/>
      <c r="H665" s="8"/>
      <c r="K665" s="8"/>
      <c r="S665" s="8"/>
      <c r="W665" s="8"/>
      <c r="X665" s="8"/>
    </row>
    <row r="666" customFormat="false" ht="15" hidden="false" customHeight="false" outlineLevel="0" collapsed="false">
      <c r="E666" s="8"/>
      <c r="F666" s="8"/>
      <c r="H666" s="8"/>
      <c r="K666" s="8"/>
      <c r="S666" s="8"/>
      <c r="W666" s="8"/>
      <c r="X666" s="8"/>
    </row>
    <row r="667" customFormat="false" ht="15" hidden="false" customHeight="false" outlineLevel="0" collapsed="false">
      <c r="E667" s="8"/>
      <c r="F667" s="8"/>
      <c r="H667" s="8"/>
      <c r="K667" s="8"/>
      <c r="S667" s="8"/>
      <c r="W667" s="8"/>
      <c r="X667" s="8"/>
    </row>
    <row r="668" customFormat="false" ht="15" hidden="false" customHeight="false" outlineLevel="0" collapsed="false">
      <c r="E668" s="8"/>
      <c r="F668" s="8"/>
      <c r="H668" s="8"/>
      <c r="K668" s="8"/>
      <c r="S668" s="8"/>
      <c r="W668" s="8"/>
      <c r="X668" s="8"/>
    </row>
    <row r="669" customFormat="false" ht="15" hidden="false" customHeight="false" outlineLevel="0" collapsed="false">
      <c r="E669" s="8"/>
      <c r="F669" s="8"/>
      <c r="H669" s="8"/>
      <c r="K669" s="8"/>
      <c r="S669" s="8"/>
      <c r="W669" s="8"/>
      <c r="X669" s="8"/>
    </row>
    <row r="670" customFormat="false" ht="15" hidden="false" customHeight="false" outlineLevel="0" collapsed="false">
      <c r="E670" s="8"/>
      <c r="F670" s="8"/>
      <c r="H670" s="8"/>
      <c r="K670" s="8"/>
      <c r="S670" s="8"/>
      <c r="W670" s="8"/>
      <c r="X670" s="8"/>
    </row>
    <row r="671" customFormat="false" ht="15" hidden="false" customHeight="false" outlineLevel="0" collapsed="false">
      <c r="E671" s="8"/>
      <c r="F671" s="8"/>
      <c r="H671" s="8"/>
      <c r="K671" s="8"/>
      <c r="S671" s="8"/>
      <c r="W671" s="8"/>
      <c r="X671" s="8"/>
    </row>
    <row r="672" customFormat="false" ht="15" hidden="false" customHeight="false" outlineLevel="0" collapsed="false">
      <c r="E672" s="8"/>
      <c r="F672" s="8"/>
      <c r="H672" s="8"/>
      <c r="K672" s="8"/>
      <c r="S672" s="8"/>
      <c r="W672" s="8"/>
      <c r="X672" s="8"/>
    </row>
    <row r="673" customFormat="false" ht="15" hidden="false" customHeight="false" outlineLevel="0" collapsed="false">
      <c r="E673" s="8"/>
      <c r="F673" s="8"/>
      <c r="H673" s="8"/>
      <c r="K673" s="8"/>
      <c r="S673" s="8"/>
      <c r="W673" s="8"/>
      <c r="X673" s="8"/>
    </row>
    <row r="674" customFormat="false" ht="15" hidden="false" customHeight="false" outlineLevel="0" collapsed="false">
      <c r="E674" s="8"/>
      <c r="F674" s="8"/>
      <c r="H674" s="8"/>
      <c r="K674" s="8"/>
      <c r="S674" s="8"/>
      <c r="W674" s="8"/>
      <c r="X674" s="8"/>
    </row>
    <row r="675" customFormat="false" ht="15" hidden="false" customHeight="false" outlineLevel="0" collapsed="false">
      <c r="E675" s="8"/>
      <c r="F675" s="8"/>
      <c r="H675" s="8"/>
      <c r="K675" s="8"/>
      <c r="S675" s="8"/>
      <c r="W675" s="8"/>
      <c r="X675" s="8"/>
    </row>
    <row r="676" customFormat="false" ht="15" hidden="false" customHeight="false" outlineLevel="0" collapsed="false">
      <c r="E676" s="8"/>
      <c r="F676" s="8"/>
      <c r="H676" s="8"/>
      <c r="K676" s="8"/>
      <c r="S676" s="8"/>
      <c r="W676" s="8"/>
      <c r="X676" s="8"/>
    </row>
    <row r="677" customFormat="false" ht="15" hidden="false" customHeight="false" outlineLevel="0" collapsed="false">
      <c r="E677" s="8"/>
      <c r="F677" s="8"/>
      <c r="H677" s="8"/>
      <c r="K677" s="8"/>
      <c r="S677" s="8"/>
      <c r="W677" s="8"/>
      <c r="X677" s="8"/>
    </row>
    <row r="678" customFormat="false" ht="15" hidden="false" customHeight="false" outlineLevel="0" collapsed="false">
      <c r="E678" s="8"/>
      <c r="F678" s="8"/>
      <c r="H678" s="8"/>
      <c r="K678" s="8"/>
      <c r="S678" s="8"/>
      <c r="W678" s="8"/>
      <c r="X678" s="8"/>
    </row>
    <row r="679" customFormat="false" ht="15" hidden="false" customHeight="false" outlineLevel="0" collapsed="false">
      <c r="E679" s="8"/>
      <c r="F679" s="8"/>
      <c r="H679" s="8"/>
      <c r="K679" s="8"/>
      <c r="S679" s="8"/>
      <c r="W679" s="8"/>
      <c r="X679" s="8"/>
    </row>
    <row r="680" customFormat="false" ht="15" hidden="false" customHeight="false" outlineLevel="0" collapsed="false">
      <c r="E680" s="8"/>
      <c r="F680" s="8"/>
      <c r="H680" s="8"/>
      <c r="K680" s="8"/>
      <c r="S680" s="8"/>
      <c r="W680" s="8"/>
      <c r="X680" s="8"/>
    </row>
    <row r="681" customFormat="false" ht="15" hidden="false" customHeight="false" outlineLevel="0" collapsed="false">
      <c r="E681" s="8"/>
      <c r="F681" s="8"/>
      <c r="H681" s="8"/>
      <c r="K681" s="8"/>
      <c r="S681" s="8"/>
      <c r="W681" s="8"/>
      <c r="X681" s="8"/>
    </row>
    <row r="682" customFormat="false" ht="15" hidden="false" customHeight="false" outlineLevel="0" collapsed="false">
      <c r="E682" s="8"/>
      <c r="F682" s="8"/>
      <c r="H682" s="8"/>
      <c r="K682" s="8"/>
      <c r="S682" s="8"/>
      <c r="W682" s="8"/>
      <c r="X682" s="8"/>
    </row>
    <row r="683" customFormat="false" ht="15" hidden="false" customHeight="false" outlineLevel="0" collapsed="false">
      <c r="E683" s="8"/>
      <c r="F683" s="8"/>
      <c r="H683" s="8"/>
      <c r="K683" s="8"/>
      <c r="S683" s="8"/>
      <c r="W683" s="8"/>
      <c r="X683" s="8"/>
    </row>
    <row r="684" customFormat="false" ht="15" hidden="false" customHeight="false" outlineLevel="0" collapsed="false">
      <c r="E684" s="8"/>
      <c r="F684" s="8"/>
      <c r="H684" s="8"/>
      <c r="K684" s="8"/>
      <c r="S684" s="8"/>
      <c r="W684" s="8"/>
      <c r="X684" s="8"/>
    </row>
    <row r="685" customFormat="false" ht="15" hidden="false" customHeight="false" outlineLevel="0" collapsed="false">
      <c r="E685" s="8"/>
      <c r="F685" s="8"/>
      <c r="H685" s="8"/>
      <c r="K685" s="8"/>
      <c r="S685" s="8"/>
      <c r="W685" s="8"/>
      <c r="X685" s="8"/>
    </row>
    <row r="686" customFormat="false" ht="15" hidden="false" customHeight="false" outlineLevel="0" collapsed="false">
      <c r="E686" s="8"/>
      <c r="F686" s="8"/>
      <c r="H686" s="8"/>
      <c r="K686" s="8"/>
      <c r="S686" s="8"/>
      <c r="W686" s="8"/>
      <c r="X686" s="8"/>
    </row>
    <row r="687" customFormat="false" ht="15" hidden="false" customHeight="false" outlineLevel="0" collapsed="false">
      <c r="E687" s="8"/>
      <c r="F687" s="8"/>
      <c r="H687" s="8"/>
      <c r="K687" s="8"/>
      <c r="S687" s="8"/>
      <c r="W687" s="8"/>
      <c r="X687" s="8"/>
    </row>
    <row r="688" customFormat="false" ht="15" hidden="false" customHeight="false" outlineLevel="0" collapsed="false">
      <c r="E688" s="8"/>
      <c r="F688" s="8"/>
      <c r="H688" s="8"/>
      <c r="K688" s="8"/>
      <c r="S688" s="8"/>
      <c r="W688" s="8"/>
      <c r="X688" s="8"/>
    </row>
    <row r="689" customFormat="false" ht="15" hidden="false" customHeight="false" outlineLevel="0" collapsed="false">
      <c r="E689" s="8"/>
      <c r="F689" s="8"/>
      <c r="H689" s="8"/>
      <c r="K689" s="8"/>
      <c r="S689" s="8"/>
      <c r="W689" s="8"/>
      <c r="X689" s="8"/>
    </row>
    <row r="690" customFormat="false" ht="15" hidden="false" customHeight="false" outlineLevel="0" collapsed="false">
      <c r="E690" s="8"/>
      <c r="F690" s="8"/>
      <c r="H690" s="8"/>
      <c r="K690" s="8"/>
      <c r="S690" s="8"/>
      <c r="W690" s="8"/>
      <c r="X690" s="8"/>
    </row>
    <row r="691" customFormat="false" ht="15" hidden="false" customHeight="false" outlineLevel="0" collapsed="false">
      <c r="E691" s="8"/>
      <c r="F691" s="8"/>
      <c r="H691" s="8"/>
      <c r="K691" s="8"/>
      <c r="S691" s="8"/>
      <c r="W691" s="8"/>
      <c r="X691" s="8"/>
    </row>
    <row r="692" customFormat="false" ht="15" hidden="false" customHeight="false" outlineLevel="0" collapsed="false">
      <c r="E692" s="8"/>
      <c r="F692" s="8"/>
      <c r="H692" s="8"/>
      <c r="K692" s="8"/>
      <c r="S692" s="8"/>
      <c r="W692" s="8"/>
      <c r="X692" s="8"/>
    </row>
    <row r="693" customFormat="false" ht="15" hidden="false" customHeight="false" outlineLevel="0" collapsed="false">
      <c r="E693" s="8"/>
      <c r="F693" s="8"/>
      <c r="H693" s="8"/>
      <c r="K693" s="8"/>
      <c r="S693" s="8"/>
      <c r="W693" s="8"/>
      <c r="X693" s="8"/>
    </row>
    <row r="694" customFormat="false" ht="15" hidden="false" customHeight="false" outlineLevel="0" collapsed="false">
      <c r="E694" s="8"/>
      <c r="F694" s="8"/>
      <c r="H694" s="8"/>
      <c r="K694" s="8"/>
      <c r="S694" s="8"/>
      <c r="W694" s="8"/>
      <c r="X694" s="8"/>
    </row>
    <row r="695" customFormat="false" ht="15" hidden="false" customHeight="false" outlineLevel="0" collapsed="false">
      <c r="E695" s="8"/>
      <c r="F695" s="8"/>
      <c r="H695" s="8"/>
      <c r="K695" s="8"/>
      <c r="S695" s="8"/>
      <c r="W695" s="8"/>
      <c r="X695" s="8"/>
    </row>
    <row r="696" customFormat="false" ht="15" hidden="false" customHeight="false" outlineLevel="0" collapsed="false">
      <c r="E696" s="8"/>
      <c r="F696" s="8"/>
      <c r="H696" s="8"/>
      <c r="K696" s="8"/>
      <c r="S696" s="8"/>
      <c r="W696" s="8"/>
      <c r="X696" s="8"/>
    </row>
    <row r="697" customFormat="false" ht="15" hidden="false" customHeight="false" outlineLevel="0" collapsed="false">
      <c r="E697" s="8"/>
      <c r="F697" s="8"/>
      <c r="H697" s="8"/>
      <c r="K697" s="8"/>
      <c r="S697" s="8"/>
      <c r="W697" s="8"/>
      <c r="X697" s="8"/>
    </row>
    <row r="698" customFormat="false" ht="15" hidden="false" customHeight="false" outlineLevel="0" collapsed="false">
      <c r="E698" s="8"/>
      <c r="F698" s="8"/>
      <c r="H698" s="8"/>
      <c r="K698" s="8"/>
      <c r="S698" s="8"/>
      <c r="W698" s="8"/>
      <c r="X698" s="8"/>
    </row>
    <row r="699" customFormat="false" ht="15" hidden="false" customHeight="false" outlineLevel="0" collapsed="false">
      <c r="E699" s="8"/>
      <c r="F699" s="8"/>
      <c r="H699" s="8"/>
      <c r="K699" s="8"/>
      <c r="S699" s="8"/>
      <c r="W699" s="8"/>
      <c r="X699" s="8"/>
    </row>
    <row r="700" customFormat="false" ht="15" hidden="false" customHeight="false" outlineLevel="0" collapsed="false">
      <c r="E700" s="8"/>
      <c r="F700" s="8"/>
      <c r="H700" s="8"/>
      <c r="K700" s="8"/>
      <c r="S700" s="8"/>
      <c r="W700" s="8"/>
      <c r="X700" s="8"/>
    </row>
    <row r="701" customFormat="false" ht="15" hidden="false" customHeight="false" outlineLevel="0" collapsed="false">
      <c r="E701" s="8"/>
      <c r="F701" s="8"/>
      <c r="H701" s="8"/>
      <c r="K701" s="8"/>
      <c r="S701" s="8"/>
      <c r="W701" s="8"/>
      <c r="X701" s="8"/>
    </row>
    <row r="702" customFormat="false" ht="15" hidden="false" customHeight="false" outlineLevel="0" collapsed="false">
      <c r="E702" s="8"/>
      <c r="F702" s="8"/>
      <c r="H702" s="8"/>
      <c r="K702" s="8"/>
      <c r="S702" s="8"/>
      <c r="W702" s="8"/>
      <c r="X702" s="8"/>
    </row>
    <row r="703" customFormat="false" ht="15" hidden="false" customHeight="false" outlineLevel="0" collapsed="false">
      <c r="E703" s="8"/>
      <c r="F703" s="8"/>
      <c r="H703" s="8"/>
      <c r="K703" s="8"/>
      <c r="S703" s="8"/>
      <c r="W703" s="8"/>
      <c r="X703" s="8"/>
    </row>
    <row r="704" customFormat="false" ht="15" hidden="false" customHeight="false" outlineLevel="0" collapsed="false">
      <c r="E704" s="8"/>
      <c r="F704" s="8"/>
      <c r="H704" s="8"/>
      <c r="K704" s="8"/>
      <c r="S704" s="8"/>
      <c r="W704" s="8"/>
      <c r="X704" s="8"/>
    </row>
    <row r="705" customFormat="false" ht="15" hidden="false" customHeight="false" outlineLevel="0" collapsed="false">
      <c r="E705" s="8"/>
      <c r="F705" s="8"/>
      <c r="H705" s="8"/>
      <c r="K705" s="8"/>
      <c r="S705" s="8"/>
      <c r="W705" s="8"/>
      <c r="X705" s="8"/>
    </row>
    <row r="706" customFormat="false" ht="15" hidden="false" customHeight="false" outlineLevel="0" collapsed="false">
      <c r="E706" s="8"/>
      <c r="F706" s="8"/>
      <c r="H706" s="8"/>
      <c r="K706" s="8"/>
      <c r="S706" s="8"/>
      <c r="W706" s="8"/>
      <c r="X706" s="8"/>
    </row>
    <row r="707" customFormat="false" ht="15" hidden="false" customHeight="false" outlineLevel="0" collapsed="false">
      <c r="E707" s="8"/>
      <c r="F707" s="8"/>
      <c r="H707" s="8"/>
      <c r="K707" s="8"/>
      <c r="S707" s="8"/>
      <c r="W707" s="8"/>
      <c r="X707" s="8"/>
    </row>
    <row r="708" customFormat="false" ht="15" hidden="false" customHeight="false" outlineLevel="0" collapsed="false">
      <c r="E708" s="8"/>
      <c r="F708" s="8"/>
      <c r="H708" s="8"/>
      <c r="K708" s="8"/>
      <c r="S708" s="8"/>
      <c r="W708" s="8"/>
      <c r="X708" s="8"/>
    </row>
    <row r="709" customFormat="false" ht="15" hidden="false" customHeight="false" outlineLevel="0" collapsed="false">
      <c r="E709" s="8"/>
      <c r="F709" s="8"/>
      <c r="H709" s="8"/>
      <c r="K709" s="8"/>
      <c r="S709" s="8"/>
      <c r="W709" s="8"/>
      <c r="X709" s="8"/>
    </row>
    <row r="710" customFormat="false" ht="15" hidden="false" customHeight="false" outlineLevel="0" collapsed="false">
      <c r="E710" s="8"/>
      <c r="F710" s="8"/>
      <c r="H710" s="8"/>
      <c r="K710" s="8"/>
      <c r="S710" s="8"/>
      <c r="W710" s="8"/>
      <c r="X710" s="8"/>
    </row>
    <row r="711" customFormat="false" ht="15" hidden="false" customHeight="false" outlineLevel="0" collapsed="false">
      <c r="E711" s="8"/>
      <c r="F711" s="8"/>
      <c r="H711" s="8"/>
      <c r="K711" s="8"/>
      <c r="S711" s="8"/>
      <c r="W711" s="8"/>
      <c r="X711" s="8"/>
    </row>
    <row r="712" customFormat="false" ht="15" hidden="false" customHeight="false" outlineLevel="0" collapsed="false">
      <c r="E712" s="8"/>
      <c r="F712" s="8"/>
      <c r="H712" s="8"/>
      <c r="K712" s="8"/>
      <c r="S712" s="8"/>
      <c r="W712" s="8"/>
      <c r="X712" s="8"/>
    </row>
    <row r="713" customFormat="false" ht="15" hidden="false" customHeight="false" outlineLevel="0" collapsed="false">
      <c r="E713" s="8"/>
      <c r="F713" s="8"/>
      <c r="H713" s="8"/>
      <c r="K713" s="8"/>
      <c r="S713" s="8"/>
      <c r="W713" s="8"/>
      <c r="X713" s="8"/>
    </row>
    <row r="714" customFormat="false" ht="15" hidden="false" customHeight="false" outlineLevel="0" collapsed="false">
      <c r="E714" s="8"/>
      <c r="F714" s="8"/>
      <c r="H714" s="8"/>
      <c r="K714" s="8"/>
      <c r="S714" s="8"/>
      <c r="W714" s="8"/>
      <c r="X714" s="8"/>
    </row>
    <row r="715" customFormat="false" ht="15" hidden="false" customHeight="false" outlineLevel="0" collapsed="false">
      <c r="E715" s="8"/>
      <c r="F715" s="8"/>
      <c r="H715" s="8"/>
      <c r="K715" s="8"/>
      <c r="S715" s="8"/>
      <c r="W715" s="8"/>
      <c r="X715" s="8"/>
    </row>
    <row r="716" customFormat="false" ht="15" hidden="false" customHeight="false" outlineLevel="0" collapsed="false">
      <c r="E716" s="8"/>
      <c r="F716" s="8"/>
      <c r="H716" s="8"/>
      <c r="K716" s="8"/>
      <c r="S716" s="8"/>
      <c r="W716" s="8"/>
      <c r="X716" s="8"/>
    </row>
    <row r="717" customFormat="false" ht="15" hidden="false" customHeight="false" outlineLevel="0" collapsed="false">
      <c r="E717" s="8"/>
      <c r="F717" s="8"/>
      <c r="H717" s="8"/>
      <c r="K717" s="8"/>
      <c r="S717" s="8"/>
      <c r="W717" s="8"/>
      <c r="X717" s="8"/>
    </row>
    <row r="718" customFormat="false" ht="15" hidden="false" customHeight="false" outlineLevel="0" collapsed="false">
      <c r="E718" s="8"/>
      <c r="F718" s="8"/>
      <c r="H718" s="8"/>
      <c r="K718" s="8"/>
      <c r="S718" s="8"/>
      <c r="W718" s="8"/>
      <c r="X718" s="8"/>
    </row>
    <row r="719" customFormat="false" ht="15" hidden="false" customHeight="false" outlineLevel="0" collapsed="false">
      <c r="E719" s="8"/>
      <c r="F719" s="8"/>
      <c r="H719" s="8"/>
      <c r="K719" s="8"/>
      <c r="S719" s="8"/>
      <c r="W719" s="8"/>
      <c r="X719" s="8"/>
    </row>
    <row r="720" customFormat="false" ht="15" hidden="false" customHeight="false" outlineLevel="0" collapsed="false">
      <c r="E720" s="8"/>
      <c r="F720" s="8"/>
      <c r="H720" s="8"/>
      <c r="K720" s="8"/>
      <c r="S720" s="8"/>
      <c r="W720" s="8"/>
      <c r="X720" s="8"/>
    </row>
    <row r="721" customFormat="false" ht="15" hidden="false" customHeight="false" outlineLevel="0" collapsed="false">
      <c r="E721" s="8"/>
      <c r="F721" s="8"/>
      <c r="H721" s="8"/>
      <c r="K721" s="8"/>
      <c r="S721" s="8"/>
      <c r="W721" s="8"/>
      <c r="X721" s="8"/>
    </row>
    <row r="722" customFormat="false" ht="15" hidden="false" customHeight="false" outlineLevel="0" collapsed="false">
      <c r="E722" s="8"/>
      <c r="F722" s="8"/>
      <c r="H722" s="8"/>
      <c r="K722" s="8"/>
      <c r="S722" s="8"/>
      <c r="W722" s="8"/>
      <c r="X722" s="8"/>
    </row>
    <row r="723" customFormat="false" ht="15" hidden="false" customHeight="false" outlineLevel="0" collapsed="false">
      <c r="E723" s="8"/>
      <c r="F723" s="8"/>
      <c r="H723" s="8"/>
      <c r="K723" s="8"/>
      <c r="S723" s="8"/>
      <c r="W723" s="8"/>
      <c r="X723" s="8"/>
    </row>
    <row r="724" customFormat="false" ht="15" hidden="false" customHeight="false" outlineLevel="0" collapsed="false">
      <c r="E724" s="8"/>
      <c r="F724" s="8"/>
      <c r="H724" s="8"/>
      <c r="K724" s="8"/>
      <c r="S724" s="8"/>
      <c r="W724" s="8"/>
      <c r="X724" s="8"/>
    </row>
    <row r="725" customFormat="false" ht="15" hidden="false" customHeight="false" outlineLevel="0" collapsed="false">
      <c r="E725" s="8"/>
      <c r="F725" s="8"/>
      <c r="H725" s="8"/>
      <c r="K725" s="8"/>
      <c r="S725" s="8"/>
      <c r="W725" s="8"/>
      <c r="X725" s="8"/>
    </row>
    <row r="726" customFormat="false" ht="15" hidden="false" customHeight="false" outlineLevel="0" collapsed="false">
      <c r="E726" s="8"/>
      <c r="F726" s="8"/>
      <c r="H726" s="8"/>
      <c r="K726" s="8"/>
      <c r="S726" s="8"/>
      <c r="W726" s="8"/>
      <c r="X726" s="8"/>
    </row>
    <row r="727" customFormat="false" ht="15" hidden="false" customHeight="false" outlineLevel="0" collapsed="false">
      <c r="E727" s="8"/>
      <c r="F727" s="8"/>
      <c r="H727" s="8"/>
      <c r="K727" s="8"/>
      <c r="S727" s="8"/>
      <c r="W727" s="8"/>
      <c r="X727" s="8"/>
    </row>
    <row r="728" customFormat="false" ht="15" hidden="false" customHeight="false" outlineLevel="0" collapsed="false">
      <c r="E728" s="8"/>
      <c r="F728" s="8"/>
      <c r="H728" s="8"/>
      <c r="K728" s="8"/>
      <c r="S728" s="8"/>
      <c r="W728" s="8"/>
      <c r="X728" s="8"/>
    </row>
    <row r="729" customFormat="false" ht="15" hidden="false" customHeight="false" outlineLevel="0" collapsed="false">
      <c r="E729" s="8"/>
      <c r="F729" s="8"/>
      <c r="H729" s="8"/>
      <c r="K729" s="8"/>
      <c r="S729" s="8"/>
      <c r="W729" s="8"/>
      <c r="X729" s="8"/>
    </row>
    <row r="730" customFormat="false" ht="15" hidden="false" customHeight="false" outlineLevel="0" collapsed="false">
      <c r="E730" s="8"/>
      <c r="F730" s="8"/>
      <c r="H730" s="8"/>
      <c r="K730" s="8"/>
      <c r="S730" s="8"/>
      <c r="W730" s="8"/>
      <c r="X730" s="8"/>
    </row>
    <row r="731" customFormat="false" ht="15" hidden="false" customHeight="false" outlineLevel="0" collapsed="false">
      <c r="E731" s="8"/>
      <c r="F731" s="8"/>
      <c r="H731" s="8"/>
      <c r="K731" s="8"/>
      <c r="S731" s="8"/>
      <c r="W731" s="8"/>
      <c r="X731" s="8"/>
    </row>
    <row r="732" customFormat="false" ht="15" hidden="false" customHeight="false" outlineLevel="0" collapsed="false">
      <c r="E732" s="8"/>
      <c r="F732" s="8"/>
      <c r="H732" s="8"/>
      <c r="K732" s="8"/>
      <c r="S732" s="8"/>
      <c r="W732" s="8"/>
      <c r="X732" s="8"/>
    </row>
    <row r="733" customFormat="false" ht="15" hidden="false" customHeight="false" outlineLevel="0" collapsed="false">
      <c r="E733" s="8"/>
      <c r="F733" s="8"/>
      <c r="H733" s="8"/>
      <c r="K733" s="8"/>
      <c r="S733" s="8"/>
      <c r="W733" s="8"/>
      <c r="X733" s="8"/>
    </row>
    <row r="734" customFormat="false" ht="15" hidden="false" customHeight="false" outlineLevel="0" collapsed="false">
      <c r="E734" s="8"/>
      <c r="F734" s="8"/>
      <c r="H734" s="8"/>
      <c r="K734" s="8"/>
      <c r="S734" s="8"/>
      <c r="W734" s="8"/>
      <c r="X734" s="8"/>
    </row>
    <row r="735" customFormat="false" ht="15" hidden="false" customHeight="false" outlineLevel="0" collapsed="false">
      <c r="E735" s="8"/>
      <c r="F735" s="8"/>
      <c r="H735" s="8"/>
      <c r="K735" s="8"/>
      <c r="S735" s="8"/>
      <c r="W735" s="8"/>
      <c r="X735" s="8"/>
    </row>
    <row r="736" customFormat="false" ht="15" hidden="false" customHeight="false" outlineLevel="0" collapsed="false">
      <c r="E736" s="8"/>
      <c r="F736" s="8"/>
      <c r="H736" s="8"/>
      <c r="K736" s="8"/>
      <c r="S736" s="8"/>
      <c r="W736" s="8"/>
      <c r="X736" s="8"/>
    </row>
    <row r="737" customFormat="false" ht="15" hidden="false" customHeight="false" outlineLevel="0" collapsed="false">
      <c r="E737" s="8"/>
      <c r="F737" s="8"/>
      <c r="H737" s="8"/>
      <c r="K737" s="8"/>
      <c r="S737" s="8"/>
      <c r="W737" s="8"/>
      <c r="X737" s="8"/>
    </row>
    <row r="738" customFormat="false" ht="15" hidden="false" customHeight="false" outlineLevel="0" collapsed="false">
      <c r="E738" s="8"/>
      <c r="F738" s="8"/>
      <c r="H738" s="8"/>
      <c r="K738" s="8"/>
      <c r="S738" s="8"/>
      <c r="W738" s="8"/>
      <c r="X738" s="8"/>
    </row>
    <row r="739" customFormat="false" ht="15" hidden="false" customHeight="false" outlineLevel="0" collapsed="false">
      <c r="E739" s="8"/>
      <c r="F739" s="8"/>
      <c r="H739" s="8"/>
      <c r="K739" s="8"/>
      <c r="S739" s="8"/>
      <c r="W739" s="8"/>
      <c r="X739" s="8"/>
    </row>
    <row r="740" customFormat="false" ht="15" hidden="false" customHeight="false" outlineLevel="0" collapsed="false">
      <c r="E740" s="8"/>
      <c r="F740" s="8"/>
      <c r="H740" s="8"/>
      <c r="K740" s="8"/>
      <c r="S740" s="8"/>
      <c r="W740" s="8"/>
      <c r="X740" s="8"/>
    </row>
    <row r="741" customFormat="false" ht="15" hidden="false" customHeight="false" outlineLevel="0" collapsed="false">
      <c r="E741" s="8"/>
      <c r="F741" s="8"/>
      <c r="H741" s="8"/>
      <c r="K741" s="8"/>
      <c r="S741" s="8"/>
      <c r="W741" s="8"/>
      <c r="X741" s="8"/>
    </row>
    <row r="742" customFormat="false" ht="15" hidden="false" customHeight="false" outlineLevel="0" collapsed="false">
      <c r="E742" s="8"/>
      <c r="F742" s="8"/>
      <c r="H742" s="8"/>
      <c r="K742" s="8"/>
      <c r="S742" s="8"/>
      <c r="W742" s="8"/>
      <c r="X742" s="8"/>
    </row>
    <row r="743" customFormat="false" ht="15" hidden="false" customHeight="false" outlineLevel="0" collapsed="false">
      <c r="E743" s="8"/>
      <c r="F743" s="8"/>
      <c r="H743" s="8"/>
      <c r="K743" s="8"/>
      <c r="S743" s="8"/>
      <c r="W743" s="8"/>
      <c r="X743" s="8"/>
    </row>
    <row r="744" customFormat="false" ht="15" hidden="false" customHeight="false" outlineLevel="0" collapsed="false">
      <c r="E744" s="8"/>
      <c r="F744" s="8"/>
      <c r="H744" s="8"/>
      <c r="K744" s="8"/>
      <c r="S744" s="8"/>
      <c r="W744" s="8"/>
      <c r="X744" s="8"/>
    </row>
    <row r="745" customFormat="false" ht="15" hidden="false" customHeight="false" outlineLevel="0" collapsed="false">
      <c r="E745" s="8"/>
      <c r="F745" s="8"/>
      <c r="H745" s="8"/>
      <c r="K745" s="8"/>
      <c r="S745" s="8"/>
      <c r="W745" s="8"/>
      <c r="X745" s="8"/>
    </row>
    <row r="746" customFormat="false" ht="15" hidden="false" customHeight="false" outlineLevel="0" collapsed="false">
      <c r="E746" s="8"/>
      <c r="F746" s="8"/>
      <c r="H746" s="8"/>
      <c r="K746" s="8"/>
      <c r="S746" s="8"/>
      <c r="W746" s="8"/>
      <c r="X746" s="8"/>
    </row>
    <row r="747" customFormat="false" ht="15" hidden="false" customHeight="false" outlineLevel="0" collapsed="false">
      <c r="E747" s="8"/>
      <c r="F747" s="8"/>
      <c r="H747" s="8"/>
      <c r="K747" s="8"/>
      <c r="S747" s="8"/>
      <c r="W747" s="8"/>
      <c r="X747" s="8"/>
    </row>
    <row r="748" customFormat="false" ht="15" hidden="false" customHeight="false" outlineLevel="0" collapsed="false">
      <c r="E748" s="8"/>
      <c r="F748" s="8"/>
      <c r="H748" s="8"/>
      <c r="K748" s="8"/>
      <c r="S748" s="8"/>
      <c r="W748" s="8"/>
      <c r="X748" s="8"/>
    </row>
    <row r="749" customFormat="false" ht="15" hidden="false" customHeight="false" outlineLevel="0" collapsed="false">
      <c r="E749" s="8"/>
      <c r="F749" s="8"/>
      <c r="H749" s="8"/>
      <c r="K749" s="8"/>
      <c r="S749" s="8"/>
      <c r="W749" s="8"/>
      <c r="X749" s="8"/>
    </row>
    <row r="750" customFormat="false" ht="15" hidden="false" customHeight="false" outlineLevel="0" collapsed="false">
      <c r="E750" s="8"/>
      <c r="F750" s="8"/>
      <c r="H750" s="8"/>
      <c r="K750" s="8"/>
      <c r="S750" s="8"/>
      <c r="W750" s="8"/>
      <c r="X750" s="8"/>
    </row>
    <row r="751" customFormat="false" ht="15" hidden="false" customHeight="false" outlineLevel="0" collapsed="false">
      <c r="E751" s="8"/>
      <c r="F751" s="8"/>
      <c r="H751" s="8"/>
      <c r="K751" s="8"/>
      <c r="S751" s="8"/>
      <c r="W751" s="8"/>
      <c r="X751" s="8"/>
    </row>
    <row r="752" customFormat="false" ht="15" hidden="false" customHeight="false" outlineLevel="0" collapsed="false">
      <c r="E752" s="8"/>
      <c r="F752" s="8"/>
      <c r="H752" s="8"/>
      <c r="K752" s="8"/>
      <c r="S752" s="8"/>
      <c r="W752" s="8"/>
      <c r="X752" s="8"/>
    </row>
    <row r="753" customFormat="false" ht="15" hidden="false" customHeight="false" outlineLevel="0" collapsed="false">
      <c r="E753" s="8"/>
      <c r="F753" s="8"/>
      <c r="H753" s="8"/>
      <c r="K753" s="8"/>
      <c r="S753" s="8"/>
      <c r="W753" s="8"/>
      <c r="X753" s="8"/>
    </row>
    <row r="754" customFormat="false" ht="15" hidden="false" customHeight="false" outlineLevel="0" collapsed="false">
      <c r="E754" s="8"/>
      <c r="F754" s="8"/>
      <c r="H754" s="8"/>
      <c r="K754" s="8"/>
      <c r="S754" s="8"/>
      <c r="W754" s="8"/>
      <c r="X754" s="8"/>
    </row>
    <row r="755" customFormat="false" ht="15" hidden="false" customHeight="false" outlineLevel="0" collapsed="false">
      <c r="E755" s="8"/>
      <c r="F755" s="8"/>
      <c r="H755" s="8"/>
      <c r="K755" s="8"/>
      <c r="S755" s="8"/>
      <c r="W755" s="8"/>
      <c r="X755" s="8"/>
    </row>
    <row r="756" customFormat="false" ht="15" hidden="false" customHeight="false" outlineLevel="0" collapsed="false">
      <c r="E756" s="8"/>
      <c r="F756" s="8"/>
      <c r="H756" s="8"/>
      <c r="K756" s="8"/>
      <c r="S756" s="8"/>
      <c r="W756" s="8"/>
      <c r="X756" s="8"/>
    </row>
    <row r="757" customFormat="false" ht="15" hidden="false" customHeight="false" outlineLevel="0" collapsed="false">
      <c r="E757" s="8"/>
      <c r="F757" s="8"/>
      <c r="H757" s="8"/>
      <c r="K757" s="8"/>
      <c r="S757" s="8"/>
      <c r="W757" s="8"/>
      <c r="X757" s="8"/>
    </row>
    <row r="758" customFormat="false" ht="15" hidden="false" customHeight="false" outlineLevel="0" collapsed="false">
      <c r="E758" s="8"/>
      <c r="F758" s="8"/>
      <c r="H758" s="8"/>
      <c r="K758" s="8"/>
      <c r="S758" s="8"/>
      <c r="W758" s="8"/>
      <c r="X758" s="8"/>
    </row>
    <row r="759" customFormat="false" ht="15" hidden="false" customHeight="false" outlineLevel="0" collapsed="false">
      <c r="E759" s="8"/>
      <c r="F759" s="8"/>
      <c r="H759" s="8"/>
      <c r="K759" s="8"/>
      <c r="S759" s="8"/>
      <c r="W759" s="8"/>
      <c r="X759" s="8"/>
    </row>
    <row r="760" customFormat="false" ht="15" hidden="false" customHeight="false" outlineLevel="0" collapsed="false">
      <c r="E760" s="8"/>
      <c r="F760" s="8"/>
      <c r="H760" s="8"/>
      <c r="K760" s="8"/>
      <c r="S760" s="8"/>
      <c r="W760" s="8"/>
      <c r="X760" s="8"/>
    </row>
    <row r="761" customFormat="false" ht="15" hidden="false" customHeight="false" outlineLevel="0" collapsed="false">
      <c r="E761" s="8"/>
      <c r="F761" s="8"/>
      <c r="H761" s="8"/>
      <c r="K761" s="8"/>
      <c r="S761" s="8"/>
      <c r="W761" s="8"/>
      <c r="X761" s="8"/>
    </row>
    <row r="762" customFormat="false" ht="15" hidden="false" customHeight="false" outlineLevel="0" collapsed="false">
      <c r="E762" s="8"/>
      <c r="F762" s="8"/>
      <c r="H762" s="8"/>
      <c r="K762" s="8"/>
      <c r="S762" s="8"/>
      <c r="W762" s="8"/>
      <c r="X762" s="8"/>
    </row>
    <row r="763" customFormat="false" ht="15" hidden="false" customHeight="false" outlineLevel="0" collapsed="false">
      <c r="E763" s="8"/>
      <c r="F763" s="8"/>
      <c r="H763" s="8"/>
      <c r="K763" s="8"/>
      <c r="S763" s="8"/>
      <c r="W763" s="8"/>
      <c r="X763" s="8"/>
    </row>
    <row r="764" customFormat="false" ht="15" hidden="false" customHeight="false" outlineLevel="0" collapsed="false">
      <c r="E764" s="8"/>
      <c r="F764" s="8"/>
      <c r="H764" s="8"/>
      <c r="K764" s="8"/>
      <c r="S764" s="8"/>
      <c r="W764" s="8"/>
      <c r="X764" s="8"/>
    </row>
    <row r="765" customFormat="false" ht="15" hidden="false" customHeight="false" outlineLevel="0" collapsed="false">
      <c r="E765" s="8"/>
      <c r="F765" s="8"/>
      <c r="H765" s="8"/>
      <c r="K765" s="8"/>
      <c r="S765" s="8"/>
      <c r="W765" s="8"/>
      <c r="X765" s="8"/>
    </row>
    <row r="766" customFormat="false" ht="15" hidden="false" customHeight="false" outlineLevel="0" collapsed="false">
      <c r="E766" s="8"/>
      <c r="F766" s="8"/>
      <c r="H766" s="8"/>
      <c r="K766" s="8"/>
      <c r="S766" s="8"/>
      <c r="W766" s="8"/>
      <c r="X766" s="8"/>
    </row>
    <row r="767" customFormat="false" ht="15" hidden="false" customHeight="false" outlineLevel="0" collapsed="false">
      <c r="E767" s="8"/>
      <c r="F767" s="8"/>
      <c r="H767" s="8"/>
      <c r="K767" s="8"/>
      <c r="S767" s="8"/>
      <c r="W767" s="8"/>
      <c r="X767" s="8"/>
    </row>
    <row r="768" customFormat="false" ht="15" hidden="false" customHeight="false" outlineLevel="0" collapsed="false">
      <c r="E768" s="8"/>
      <c r="F768" s="8"/>
      <c r="H768" s="8"/>
      <c r="K768" s="8"/>
      <c r="S768" s="8"/>
      <c r="W768" s="8"/>
      <c r="X768" s="8"/>
    </row>
    <row r="769" customFormat="false" ht="15" hidden="false" customHeight="false" outlineLevel="0" collapsed="false">
      <c r="E769" s="8"/>
      <c r="F769" s="8"/>
      <c r="H769" s="8"/>
      <c r="K769" s="8"/>
      <c r="S769" s="8"/>
      <c r="W769" s="8"/>
      <c r="X769" s="8"/>
    </row>
    <row r="770" customFormat="false" ht="15" hidden="false" customHeight="false" outlineLevel="0" collapsed="false">
      <c r="E770" s="8"/>
      <c r="F770" s="8"/>
      <c r="H770" s="8"/>
      <c r="K770" s="8"/>
      <c r="S770" s="8"/>
      <c r="W770" s="8"/>
      <c r="X770" s="8"/>
    </row>
    <row r="771" customFormat="false" ht="15" hidden="false" customHeight="false" outlineLevel="0" collapsed="false">
      <c r="E771" s="8"/>
      <c r="F771" s="8"/>
      <c r="H771" s="8"/>
      <c r="K771" s="8"/>
      <c r="S771" s="8"/>
      <c r="W771" s="8"/>
      <c r="X771" s="8"/>
    </row>
    <row r="772" customFormat="false" ht="15" hidden="false" customHeight="false" outlineLevel="0" collapsed="false">
      <c r="E772" s="8"/>
      <c r="F772" s="8"/>
      <c r="H772" s="8"/>
      <c r="K772" s="8"/>
      <c r="S772" s="8"/>
      <c r="W772" s="8"/>
      <c r="X772" s="8"/>
    </row>
    <row r="773" customFormat="false" ht="15" hidden="false" customHeight="false" outlineLevel="0" collapsed="false">
      <c r="E773" s="8"/>
      <c r="F773" s="8"/>
      <c r="H773" s="8"/>
      <c r="K773" s="8"/>
      <c r="S773" s="8"/>
      <c r="W773" s="8"/>
      <c r="X773" s="8"/>
    </row>
    <row r="774" customFormat="false" ht="15" hidden="false" customHeight="false" outlineLevel="0" collapsed="false">
      <c r="E774" s="8"/>
      <c r="F774" s="8"/>
      <c r="H774" s="8"/>
      <c r="K774" s="8"/>
      <c r="S774" s="8"/>
      <c r="W774" s="8"/>
      <c r="X774" s="8"/>
    </row>
    <row r="775" customFormat="false" ht="15" hidden="false" customHeight="false" outlineLevel="0" collapsed="false">
      <c r="E775" s="8"/>
      <c r="F775" s="8"/>
      <c r="H775" s="8"/>
      <c r="K775" s="8"/>
      <c r="S775" s="8"/>
      <c r="W775" s="8"/>
      <c r="X775" s="8"/>
    </row>
    <row r="776" customFormat="false" ht="15" hidden="false" customHeight="false" outlineLevel="0" collapsed="false">
      <c r="E776" s="8"/>
      <c r="F776" s="8"/>
      <c r="H776" s="8"/>
      <c r="K776" s="8"/>
      <c r="S776" s="8"/>
      <c r="W776" s="8"/>
      <c r="X776" s="8"/>
    </row>
    <row r="777" customFormat="false" ht="15" hidden="false" customHeight="false" outlineLevel="0" collapsed="false">
      <c r="E777" s="8"/>
      <c r="F777" s="8"/>
      <c r="H777" s="8"/>
      <c r="K777" s="8"/>
      <c r="S777" s="8"/>
      <c r="W777" s="8"/>
      <c r="X777" s="8"/>
    </row>
    <row r="778" customFormat="false" ht="15" hidden="false" customHeight="false" outlineLevel="0" collapsed="false">
      <c r="E778" s="8"/>
      <c r="F778" s="8"/>
      <c r="H778" s="8"/>
      <c r="K778" s="8"/>
      <c r="S778" s="8"/>
      <c r="W778" s="8"/>
      <c r="X778" s="8"/>
    </row>
    <row r="779" customFormat="false" ht="15" hidden="false" customHeight="false" outlineLevel="0" collapsed="false">
      <c r="E779" s="8"/>
      <c r="F779" s="8"/>
      <c r="H779" s="8"/>
      <c r="K779" s="8"/>
      <c r="S779" s="8"/>
      <c r="W779" s="8"/>
      <c r="X779" s="8"/>
    </row>
    <row r="780" customFormat="false" ht="15" hidden="false" customHeight="false" outlineLevel="0" collapsed="false">
      <c r="E780" s="8"/>
      <c r="F780" s="8"/>
      <c r="H780" s="8"/>
      <c r="K780" s="8"/>
      <c r="S780" s="8"/>
      <c r="W780" s="8"/>
      <c r="X780" s="8"/>
    </row>
    <row r="781" customFormat="false" ht="15" hidden="false" customHeight="false" outlineLevel="0" collapsed="false">
      <c r="E781" s="8"/>
      <c r="F781" s="8"/>
      <c r="H781" s="8"/>
      <c r="K781" s="8"/>
      <c r="S781" s="8"/>
      <c r="W781" s="8"/>
      <c r="X781" s="8"/>
    </row>
    <row r="782" customFormat="false" ht="15" hidden="false" customHeight="false" outlineLevel="0" collapsed="false">
      <c r="E782" s="8"/>
      <c r="F782" s="8"/>
      <c r="H782" s="8"/>
      <c r="K782" s="8"/>
      <c r="S782" s="8"/>
      <c r="W782" s="8"/>
      <c r="X782" s="8"/>
    </row>
    <row r="783" customFormat="false" ht="15" hidden="false" customHeight="false" outlineLevel="0" collapsed="false">
      <c r="E783" s="8"/>
      <c r="F783" s="8"/>
      <c r="H783" s="8"/>
      <c r="K783" s="8"/>
      <c r="S783" s="8"/>
      <c r="W783" s="8"/>
      <c r="X783" s="8"/>
    </row>
    <row r="784" customFormat="false" ht="15" hidden="false" customHeight="false" outlineLevel="0" collapsed="false">
      <c r="E784" s="8"/>
      <c r="F784" s="8"/>
      <c r="H784" s="8"/>
      <c r="K784" s="8"/>
      <c r="S784" s="8"/>
      <c r="W784" s="8"/>
      <c r="X784" s="8"/>
    </row>
    <row r="785" customFormat="false" ht="15" hidden="false" customHeight="false" outlineLevel="0" collapsed="false">
      <c r="E785" s="8"/>
      <c r="F785" s="8"/>
      <c r="H785" s="8"/>
      <c r="K785" s="8"/>
      <c r="S785" s="8"/>
      <c r="W785" s="8"/>
      <c r="X785" s="8"/>
    </row>
    <row r="786" customFormat="false" ht="15" hidden="false" customHeight="false" outlineLevel="0" collapsed="false">
      <c r="E786" s="8"/>
      <c r="F786" s="8"/>
      <c r="H786" s="8"/>
      <c r="K786" s="8"/>
      <c r="S786" s="8"/>
      <c r="W786" s="8"/>
      <c r="X786" s="8"/>
    </row>
    <row r="787" customFormat="false" ht="15" hidden="false" customHeight="false" outlineLevel="0" collapsed="false">
      <c r="E787" s="8"/>
      <c r="F787" s="8"/>
      <c r="H787" s="8"/>
      <c r="K787" s="8"/>
      <c r="S787" s="8"/>
      <c r="W787" s="8"/>
      <c r="X787" s="8"/>
    </row>
    <row r="788" customFormat="false" ht="15" hidden="false" customHeight="false" outlineLevel="0" collapsed="false">
      <c r="E788" s="8"/>
      <c r="F788" s="8"/>
      <c r="H788" s="8"/>
      <c r="K788" s="8"/>
      <c r="S788" s="8"/>
      <c r="W788" s="8"/>
      <c r="X788" s="8"/>
    </row>
    <row r="789" customFormat="false" ht="15" hidden="false" customHeight="false" outlineLevel="0" collapsed="false">
      <c r="E789" s="8"/>
      <c r="F789" s="8"/>
      <c r="H789" s="8"/>
      <c r="K789" s="8"/>
      <c r="S789" s="8"/>
      <c r="W789" s="8"/>
      <c r="X789" s="8"/>
    </row>
    <row r="790" customFormat="false" ht="15" hidden="false" customHeight="false" outlineLevel="0" collapsed="false">
      <c r="E790" s="8"/>
      <c r="F790" s="8"/>
      <c r="H790" s="8"/>
      <c r="K790" s="8"/>
      <c r="S790" s="8"/>
      <c r="W790" s="8"/>
      <c r="X790" s="8"/>
    </row>
    <row r="791" customFormat="false" ht="15" hidden="false" customHeight="false" outlineLevel="0" collapsed="false">
      <c r="E791" s="8"/>
      <c r="F791" s="8"/>
      <c r="H791" s="8"/>
      <c r="K791" s="8"/>
      <c r="S791" s="8"/>
      <c r="W791" s="8"/>
      <c r="X791" s="8"/>
    </row>
    <row r="792" customFormat="false" ht="15" hidden="false" customHeight="false" outlineLevel="0" collapsed="false">
      <c r="E792" s="8"/>
      <c r="F792" s="8"/>
      <c r="H792" s="8"/>
      <c r="K792" s="8"/>
      <c r="S792" s="8"/>
      <c r="W792" s="8"/>
      <c r="X792" s="8"/>
    </row>
    <row r="793" customFormat="false" ht="15" hidden="false" customHeight="false" outlineLevel="0" collapsed="false">
      <c r="E793" s="8"/>
      <c r="F793" s="8"/>
      <c r="H793" s="8"/>
      <c r="K793" s="8"/>
      <c r="S793" s="8"/>
      <c r="W793" s="8"/>
      <c r="X793" s="8"/>
    </row>
    <row r="794" customFormat="false" ht="15" hidden="false" customHeight="false" outlineLevel="0" collapsed="false">
      <c r="E794" s="8"/>
      <c r="F794" s="8"/>
      <c r="H794" s="8"/>
      <c r="K794" s="8"/>
      <c r="S794" s="8"/>
      <c r="W794" s="8"/>
      <c r="X794" s="8"/>
    </row>
    <row r="795" customFormat="false" ht="15" hidden="false" customHeight="false" outlineLevel="0" collapsed="false">
      <c r="E795" s="8"/>
      <c r="F795" s="8"/>
      <c r="H795" s="8"/>
      <c r="K795" s="8"/>
      <c r="S795" s="8"/>
      <c r="W795" s="8"/>
      <c r="X795" s="8"/>
    </row>
    <row r="796" customFormat="false" ht="15" hidden="false" customHeight="false" outlineLevel="0" collapsed="false">
      <c r="E796" s="8"/>
      <c r="F796" s="8"/>
      <c r="H796" s="8"/>
      <c r="K796" s="8"/>
      <c r="S796" s="8"/>
      <c r="W796" s="8"/>
      <c r="X796" s="8"/>
    </row>
    <row r="797" customFormat="false" ht="15" hidden="false" customHeight="false" outlineLevel="0" collapsed="false">
      <c r="E797" s="8"/>
      <c r="F797" s="8"/>
      <c r="H797" s="8"/>
      <c r="K797" s="8"/>
      <c r="S797" s="8"/>
      <c r="W797" s="8"/>
      <c r="X797" s="8"/>
    </row>
    <row r="798" customFormat="false" ht="15" hidden="false" customHeight="false" outlineLevel="0" collapsed="false">
      <c r="E798" s="8"/>
      <c r="F798" s="8"/>
      <c r="H798" s="8"/>
      <c r="K798" s="8"/>
      <c r="S798" s="8"/>
      <c r="W798" s="8"/>
      <c r="X798" s="8"/>
    </row>
    <row r="799" customFormat="false" ht="15" hidden="false" customHeight="false" outlineLevel="0" collapsed="false">
      <c r="E799" s="8"/>
      <c r="F799" s="8"/>
      <c r="H799" s="8"/>
      <c r="K799" s="8"/>
      <c r="S799" s="8"/>
      <c r="W799" s="8"/>
      <c r="X799" s="8"/>
    </row>
    <row r="800" customFormat="false" ht="15" hidden="false" customHeight="false" outlineLevel="0" collapsed="false">
      <c r="E800" s="8"/>
      <c r="F800" s="8"/>
      <c r="H800" s="8"/>
      <c r="K800" s="8"/>
      <c r="S800" s="8"/>
      <c r="W800" s="8"/>
      <c r="X800" s="8"/>
    </row>
    <row r="801" customFormat="false" ht="15" hidden="false" customHeight="false" outlineLevel="0" collapsed="false">
      <c r="E801" s="8"/>
      <c r="F801" s="8"/>
      <c r="H801" s="8"/>
      <c r="K801" s="8"/>
      <c r="S801" s="8"/>
      <c r="W801" s="8"/>
      <c r="X801" s="8"/>
    </row>
    <row r="802" customFormat="false" ht="15" hidden="false" customHeight="false" outlineLevel="0" collapsed="false">
      <c r="E802" s="8"/>
      <c r="F802" s="8"/>
      <c r="H802" s="8"/>
      <c r="K802" s="8"/>
      <c r="S802" s="8"/>
      <c r="W802" s="8"/>
      <c r="X802" s="8"/>
    </row>
    <row r="803" customFormat="false" ht="15" hidden="false" customHeight="false" outlineLevel="0" collapsed="false">
      <c r="E803" s="8"/>
      <c r="F803" s="8"/>
      <c r="H803" s="8"/>
      <c r="K803" s="8"/>
      <c r="S803" s="8"/>
      <c r="W803" s="8"/>
      <c r="X803" s="8"/>
    </row>
    <row r="804" customFormat="false" ht="15" hidden="false" customHeight="false" outlineLevel="0" collapsed="false">
      <c r="E804" s="8"/>
      <c r="F804" s="8"/>
      <c r="H804" s="8"/>
      <c r="K804" s="8"/>
      <c r="S804" s="8"/>
      <c r="W804" s="8"/>
      <c r="X804" s="8"/>
    </row>
    <row r="805" customFormat="false" ht="15" hidden="false" customHeight="false" outlineLevel="0" collapsed="false">
      <c r="E805" s="8"/>
      <c r="F805" s="8"/>
      <c r="H805" s="8"/>
      <c r="K805" s="8"/>
      <c r="S805" s="8"/>
      <c r="W805" s="8"/>
      <c r="X805" s="8"/>
    </row>
    <row r="806" customFormat="false" ht="15" hidden="false" customHeight="false" outlineLevel="0" collapsed="false">
      <c r="E806" s="8"/>
      <c r="F806" s="8"/>
      <c r="H806" s="8"/>
      <c r="K806" s="8"/>
      <c r="S806" s="8"/>
      <c r="W806" s="8"/>
      <c r="X806" s="8"/>
    </row>
    <row r="807" customFormat="false" ht="15" hidden="false" customHeight="false" outlineLevel="0" collapsed="false">
      <c r="E807" s="8"/>
      <c r="F807" s="8"/>
      <c r="H807" s="8"/>
      <c r="K807" s="8"/>
      <c r="S807" s="8"/>
      <c r="W807" s="8"/>
      <c r="X807" s="8"/>
    </row>
    <row r="808" customFormat="false" ht="15" hidden="false" customHeight="false" outlineLevel="0" collapsed="false">
      <c r="E808" s="8"/>
      <c r="F808" s="8"/>
      <c r="H808" s="8"/>
      <c r="K808" s="8"/>
      <c r="S808" s="8"/>
      <c r="W808" s="8"/>
      <c r="X808" s="8"/>
    </row>
    <row r="809" customFormat="false" ht="15" hidden="false" customHeight="false" outlineLevel="0" collapsed="false">
      <c r="E809" s="8"/>
      <c r="F809" s="8"/>
      <c r="H809" s="8"/>
      <c r="K809" s="8"/>
      <c r="S809" s="8"/>
      <c r="W809" s="8"/>
      <c r="X809" s="8"/>
    </row>
    <row r="810" customFormat="false" ht="15" hidden="false" customHeight="false" outlineLevel="0" collapsed="false">
      <c r="E810" s="8"/>
      <c r="F810" s="8"/>
      <c r="H810" s="8"/>
      <c r="K810" s="8"/>
      <c r="S810" s="8"/>
      <c r="W810" s="8"/>
      <c r="X810" s="8"/>
    </row>
    <row r="811" customFormat="false" ht="15" hidden="false" customHeight="false" outlineLevel="0" collapsed="false">
      <c r="E811" s="8"/>
      <c r="F811" s="8"/>
      <c r="H811" s="8"/>
      <c r="K811" s="8"/>
      <c r="S811" s="8"/>
      <c r="W811" s="8"/>
      <c r="X811" s="8"/>
    </row>
    <row r="812" customFormat="false" ht="15" hidden="false" customHeight="false" outlineLevel="0" collapsed="false">
      <c r="E812" s="8"/>
      <c r="F812" s="8"/>
      <c r="H812" s="8"/>
      <c r="K812" s="8"/>
      <c r="S812" s="8"/>
      <c r="W812" s="8"/>
      <c r="X812" s="8"/>
    </row>
    <row r="813" customFormat="false" ht="15" hidden="false" customHeight="false" outlineLevel="0" collapsed="false">
      <c r="E813" s="8"/>
      <c r="F813" s="8"/>
      <c r="H813" s="8"/>
      <c r="K813" s="8"/>
      <c r="S813" s="8"/>
      <c r="W813" s="8"/>
      <c r="X813" s="8"/>
    </row>
    <row r="814" customFormat="false" ht="15" hidden="false" customHeight="false" outlineLevel="0" collapsed="false">
      <c r="E814" s="8"/>
      <c r="F814" s="8"/>
      <c r="H814" s="8"/>
      <c r="K814" s="8"/>
      <c r="S814" s="8"/>
      <c r="W814" s="8"/>
      <c r="X814" s="8"/>
    </row>
    <row r="815" customFormat="false" ht="15" hidden="false" customHeight="false" outlineLevel="0" collapsed="false">
      <c r="E815" s="8"/>
      <c r="F815" s="8"/>
      <c r="H815" s="8"/>
      <c r="K815" s="8"/>
      <c r="S815" s="8"/>
      <c r="W815" s="8"/>
      <c r="X815" s="8"/>
    </row>
    <row r="816" customFormat="false" ht="15" hidden="false" customHeight="false" outlineLevel="0" collapsed="false">
      <c r="E816" s="8"/>
      <c r="F816" s="8"/>
      <c r="H816" s="8"/>
      <c r="K816" s="8"/>
      <c r="S816" s="8"/>
      <c r="W816" s="8"/>
      <c r="X816" s="8"/>
    </row>
    <row r="817" customFormat="false" ht="15" hidden="false" customHeight="false" outlineLevel="0" collapsed="false">
      <c r="E817" s="8"/>
      <c r="F817" s="8"/>
      <c r="H817" s="8"/>
      <c r="K817" s="8"/>
      <c r="S817" s="8"/>
      <c r="W817" s="8"/>
      <c r="X817" s="8"/>
    </row>
    <row r="818" customFormat="false" ht="15" hidden="false" customHeight="false" outlineLevel="0" collapsed="false">
      <c r="E818" s="8"/>
      <c r="F818" s="8"/>
      <c r="H818" s="8"/>
      <c r="K818" s="8"/>
      <c r="S818" s="8"/>
      <c r="W818" s="8"/>
      <c r="X818" s="8"/>
    </row>
    <row r="819" customFormat="false" ht="15" hidden="false" customHeight="false" outlineLevel="0" collapsed="false">
      <c r="E819" s="8"/>
      <c r="F819" s="8"/>
      <c r="H819" s="8"/>
      <c r="K819" s="8"/>
      <c r="S819" s="8"/>
      <c r="W819" s="8"/>
      <c r="X819" s="8"/>
    </row>
    <row r="820" customFormat="false" ht="15" hidden="false" customHeight="false" outlineLevel="0" collapsed="false">
      <c r="E820" s="8"/>
      <c r="F820" s="8"/>
      <c r="H820" s="8"/>
      <c r="K820" s="8"/>
      <c r="S820" s="8"/>
      <c r="W820" s="8"/>
      <c r="X820" s="8"/>
    </row>
    <row r="821" customFormat="false" ht="15" hidden="false" customHeight="false" outlineLevel="0" collapsed="false">
      <c r="E821" s="8"/>
      <c r="F821" s="8"/>
      <c r="H821" s="8"/>
      <c r="K821" s="8"/>
      <c r="S821" s="8"/>
      <c r="W821" s="8"/>
      <c r="X821" s="8"/>
    </row>
    <row r="822" customFormat="false" ht="15" hidden="false" customHeight="false" outlineLevel="0" collapsed="false">
      <c r="E822" s="8"/>
      <c r="F822" s="8"/>
      <c r="H822" s="8"/>
      <c r="K822" s="8"/>
      <c r="S822" s="8"/>
      <c r="W822" s="8"/>
      <c r="X822" s="8"/>
    </row>
    <row r="823" customFormat="false" ht="15" hidden="false" customHeight="false" outlineLevel="0" collapsed="false">
      <c r="E823" s="8"/>
      <c r="F823" s="8"/>
      <c r="H823" s="8"/>
      <c r="K823" s="8"/>
      <c r="S823" s="8"/>
      <c r="W823" s="8"/>
      <c r="X823" s="8"/>
    </row>
    <row r="824" customFormat="false" ht="15" hidden="false" customHeight="false" outlineLevel="0" collapsed="false">
      <c r="E824" s="8"/>
      <c r="F824" s="8"/>
      <c r="H824" s="8"/>
      <c r="K824" s="8"/>
      <c r="S824" s="8"/>
      <c r="W824" s="8"/>
      <c r="X824" s="8"/>
    </row>
    <row r="825" customFormat="false" ht="15" hidden="false" customHeight="false" outlineLevel="0" collapsed="false">
      <c r="E825" s="8"/>
      <c r="F825" s="8"/>
      <c r="H825" s="8"/>
      <c r="K825" s="8"/>
      <c r="S825" s="8"/>
      <c r="W825" s="8"/>
      <c r="X825" s="8"/>
    </row>
    <row r="826" customFormat="false" ht="15" hidden="false" customHeight="false" outlineLevel="0" collapsed="false">
      <c r="E826" s="8"/>
      <c r="F826" s="8"/>
      <c r="H826" s="8"/>
      <c r="K826" s="8"/>
      <c r="S826" s="8"/>
      <c r="W826" s="8"/>
      <c r="X826" s="8"/>
    </row>
    <row r="827" customFormat="false" ht="15" hidden="false" customHeight="false" outlineLevel="0" collapsed="false">
      <c r="E827" s="8"/>
      <c r="F827" s="8"/>
      <c r="H827" s="8"/>
      <c r="K827" s="8"/>
      <c r="S827" s="8"/>
      <c r="W827" s="8"/>
      <c r="X827" s="8"/>
    </row>
    <row r="828" customFormat="false" ht="15" hidden="false" customHeight="false" outlineLevel="0" collapsed="false">
      <c r="E828" s="8"/>
      <c r="F828" s="8"/>
      <c r="H828" s="8"/>
      <c r="K828" s="8"/>
      <c r="S828" s="8"/>
      <c r="W828" s="8"/>
      <c r="X828" s="8"/>
    </row>
    <row r="829" customFormat="false" ht="15" hidden="false" customHeight="false" outlineLevel="0" collapsed="false">
      <c r="E829" s="8"/>
      <c r="F829" s="8"/>
      <c r="H829" s="8"/>
      <c r="K829" s="8"/>
      <c r="S829" s="8"/>
      <c r="W829" s="8"/>
      <c r="X829" s="8"/>
    </row>
    <row r="830" customFormat="false" ht="15" hidden="false" customHeight="false" outlineLevel="0" collapsed="false">
      <c r="E830" s="8"/>
      <c r="F830" s="8"/>
      <c r="H830" s="8"/>
      <c r="K830" s="8"/>
      <c r="S830" s="8"/>
      <c r="W830" s="8"/>
      <c r="X830" s="8"/>
    </row>
    <row r="831" customFormat="false" ht="15" hidden="false" customHeight="false" outlineLevel="0" collapsed="false">
      <c r="E831" s="8"/>
      <c r="F831" s="8"/>
      <c r="H831" s="8"/>
      <c r="K831" s="8"/>
      <c r="S831" s="8"/>
      <c r="W831" s="8"/>
      <c r="X831" s="8"/>
    </row>
    <row r="832" customFormat="false" ht="15" hidden="false" customHeight="false" outlineLevel="0" collapsed="false">
      <c r="E832" s="8"/>
      <c r="F832" s="8"/>
      <c r="H832" s="8"/>
      <c r="K832" s="8"/>
      <c r="S832" s="8"/>
      <c r="W832" s="8"/>
      <c r="X832" s="8"/>
    </row>
    <row r="833" customFormat="false" ht="15" hidden="false" customHeight="false" outlineLevel="0" collapsed="false">
      <c r="E833" s="8"/>
      <c r="F833" s="8"/>
      <c r="H833" s="8"/>
      <c r="K833" s="8"/>
      <c r="S833" s="8"/>
      <c r="W833" s="8"/>
      <c r="X833" s="8"/>
    </row>
    <row r="834" customFormat="false" ht="15" hidden="false" customHeight="false" outlineLevel="0" collapsed="false">
      <c r="E834" s="8"/>
      <c r="F834" s="8"/>
      <c r="H834" s="8"/>
      <c r="K834" s="8"/>
      <c r="S834" s="8"/>
      <c r="W834" s="8"/>
      <c r="X834" s="8"/>
    </row>
    <row r="835" customFormat="false" ht="15" hidden="false" customHeight="false" outlineLevel="0" collapsed="false">
      <c r="E835" s="8"/>
      <c r="F835" s="8"/>
      <c r="H835" s="8"/>
      <c r="K835" s="8"/>
      <c r="S835" s="8"/>
      <c r="W835" s="8"/>
      <c r="X835" s="8"/>
    </row>
    <row r="836" customFormat="false" ht="15" hidden="false" customHeight="false" outlineLevel="0" collapsed="false">
      <c r="E836" s="8"/>
      <c r="F836" s="8"/>
      <c r="H836" s="8"/>
      <c r="K836" s="8"/>
      <c r="S836" s="8"/>
      <c r="W836" s="8"/>
      <c r="X836" s="8"/>
    </row>
    <row r="837" customFormat="false" ht="15" hidden="false" customHeight="false" outlineLevel="0" collapsed="false">
      <c r="E837" s="8"/>
      <c r="F837" s="8"/>
      <c r="H837" s="8"/>
      <c r="K837" s="8"/>
      <c r="S837" s="8"/>
      <c r="W837" s="8"/>
      <c r="X837" s="8"/>
    </row>
    <row r="838" customFormat="false" ht="15" hidden="false" customHeight="false" outlineLevel="0" collapsed="false">
      <c r="E838" s="8"/>
      <c r="F838" s="8"/>
      <c r="H838" s="8"/>
      <c r="K838" s="8"/>
      <c r="S838" s="8"/>
      <c r="W838" s="8"/>
      <c r="X838" s="8"/>
    </row>
    <row r="839" customFormat="false" ht="15" hidden="false" customHeight="false" outlineLevel="0" collapsed="false">
      <c r="E839" s="8"/>
      <c r="F839" s="8"/>
      <c r="H839" s="8"/>
      <c r="K839" s="8"/>
      <c r="S839" s="8"/>
      <c r="W839" s="8"/>
      <c r="X839" s="8"/>
    </row>
    <row r="840" customFormat="false" ht="15" hidden="false" customHeight="false" outlineLevel="0" collapsed="false">
      <c r="E840" s="8"/>
      <c r="F840" s="8"/>
      <c r="H840" s="8"/>
      <c r="K840" s="8"/>
      <c r="S840" s="8"/>
      <c r="W840" s="8"/>
      <c r="X840" s="8"/>
    </row>
    <row r="841" customFormat="false" ht="15" hidden="false" customHeight="false" outlineLevel="0" collapsed="false">
      <c r="E841" s="8"/>
      <c r="F841" s="8"/>
      <c r="H841" s="8"/>
      <c r="K841" s="8"/>
      <c r="S841" s="8"/>
      <c r="W841" s="8"/>
      <c r="X841" s="8"/>
    </row>
    <row r="842" customFormat="false" ht="15" hidden="false" customHeight="false" outlineLevel="0" collapsed="false">
      <c r="E842" s="8"/>
      <c r="F842" s="8"/>
      <c r="H842" s="8"/>
      <c r="K842" s="8"/>
      <c r="S842" s="8"/>
      <c r="W842" s="8"/>
      <c r="X842" s="8"/>
    </row>
    <row r="843" customFormat="false" ht="15" hidden="false" customHeight="false" outlineLevel="0" collapsed="false">
      <c r="E843" s="8"/>
      <c r="F843" s="8"/>
      <c r="H843" s="8"/>
      <c r="K843" s="8"/>
      <c r="S843" s="8"/>
      <c r="W843" s="8"/>
      <c r="X843" s="8"/>
    </row>
    <row r="844" customFormat="false" ht="15" hidden="false" customHeight="false" outlineLevel="0" collapsed="false">
      <c r="E844" s="8"/>
      <c r="F844" s="8"/>
      <c r="H844" s="8"/>
      <c r="K844" s="8"/>
      <c r="S844" s="8"/>
      <c r="W844" s="8"/>
      <c r="X844" s="8"/>
    </row>
    <row r="845" customFormat="false" ht="15" hidden="false" customHeight="false" outlineLevel="0" collapsed="false">
      <c r="E845" s="8"/>
      <c r="F845" s="8"/>
      <c r="H845" s="8"/>
      <c r="K845" s="8"/>
      <c r="S845" s="8"/>
      <c r="W845" s="8"/>
      <c r="X845" s="8"/>
    </row>
    <row r="846" customFormat="false" ht="15" hidden="false" customHeight="false" outlineLevel="0" collapsed="false">
      <c r="E846" s="8"/>
      <c r="F846" s="8"/>
      <c r="H846" s="8"/>
      <c r="K846" s="8"/>
      <c r="S846" s="8"/>
      <c r="W846" s="8"/>
      <c r="X846" s="8"/>
    </row>
    <row r="847" customFormat="false" ht="15" hidden="false" customHeight="false" outlineLevel="0" collapsed="false">
      <c r="E847" s="8"/>
      <c r="F847" s="8"/>
      <c r="H847" s="8"/>
      <c r="K847" s="8"/>
      <c r="S847" s="8"/>
      <c r="W847" s="8"/>
      <c r="X847" s="8"/>
    </row>
    <row r="848" customFormat="false" ht="15" hidden="false" customHeight="false" outlineLevel="0" collapsed="false">
      <c r="E848" s="8"/>
      <c r="F848" s="8"/>
      <c r="H848" s="8"/>
      <c r="K848" s="8"/>
      <c r="S848" s="8"/>
      <c r="W848" s="8"/>
      <c r="X848" s="8"/>
    </row>
    <row r="849" customFormat="false" ht="15" hidden="false" customHeight="false" outlineLevel="0" collapsed="false">
      <c r="E849" s="8"/>
      <c r="F849" s="8"/>
      <c r="H849" s="8"/>
      <c r="K849" s="8"/>
      <c r="S849" s="8"/>
      <c r="W849" s="8"/>
      <c r="X849" s="8"/>
    </row>
    <row r="850" customFormat="false" ht="15" hidden="false" customHeight="false" outlineLevel="0" collapsed="false">
      <c r="E850" s="8"/>
      <c r="F850" s="8"/>
      <c r="H850" s="8"/>
      <c r="K850" s="8"/>
      <c r="S850" s="8"/>
      <c r="W850" s="8"/>
      <c r="X850" s="8"/>
    </row>
    <row r="851" customFormat="false" ht="15" hidden="false" customHeight="false" outlineLevel="0" collapsed="false">
      <c r="E851" s="8"/>
      <c r="F851" s="8"/>
      <c r="H851" s="8"/>
      <c r="K851" s="8"/>
      <c r="S851" s="8"/>
      <c r="W851" s="8"/>
      <c r="X851" s="8"/>
    </row>
    <row r="852" customFormat="false" ht="15" hidden="false" customHeight="false" outlineLevel="0" collapsed="false">
      <c r="E852" s="8"/>
      <c r="F852" s="8"/>
      <c r="H852" s="8"/>
      <c r="K852" s="8"/>
      <c r="S852" s="8"/>
      <c r="W852" s="8"/>
      <c r="X852" s="8"/>
    </row>
    <row r="853" customFormat="false" ht="15" hidden="false" customHeight="false" outlineLevel="0" collapsed="false">
      <c r="E853" s="8"/>
      <c r="F853" s="8"/>
      <c r="H853" s="8"/>
      <c r="K853" s="8"/>
      <c r="S853" s="8"/>
      <c r="W853" s="8"/>
      <c r="X853" s="8"/>
    </row>
    <row r="854" customFormat="false" ht="15" hidden="false" customHeight="false" outlineLevel="0" collapsed="false">
      <c r="E854" s="8"/>
      <c r="F854" s="8"/>
      <c r="H854" s="8"/>
      <c r="K854" s="8"/>
      <c r="S854" s="8"/>
      <c r="W854" s="8"/>
      <c r="X854" s="8"/>
    </row>
    <row r="855" customFormat="false" ht="15" hidden="false" customHeight="false" outlineLevel="0" collapsed="false">
      <c r="E855" s="8"/>
      <c r="F855" s="8"/>
      <c r="H855" s="8"/>
      <c r="K855" s="8"/>
      <c r="S855" s="8"/>
      <c r="W855" s="8"/>
      <c r="X855" s="8"/>
    </row>
    <row r="856" customFormat="false" ht="15" hidden="false" customHeight="false" outlineLevel="0" collapsed="false">
      <c r="E856" s="8"/>
      <c r="F856" s="8"/>
      <c r="H856" s="8"/>
      <c r="K856" s="8"/>
      <c r="S856" s="8"/>
      <c r="W856" s="8"/>
      <c r="X856" s="8"/>
    </row>
    <row r="857" customFormat="false" ht="15" hidden="false" customHeight="false" outlineLevel="0" collapsed="false">
      <c r="E857" s="8"/>
      <c r="F857" s="8"/>
      <c r="H857" s="8"/>
      <c r="K857" s="8"/>
      <c r="S857" s="8"/>
      <c r="W857" s="8"/>
      <c r="X857" s="8"/>
    </row>
    <row r="858" customFormat="false" ht="15" hidden="false" customHeight="false" outlineLevel="0" collapsed="false">
      <c r="E858" s="8"/>
      <c r="F858" s="8"/>
      <c r="H858" s="8"/>
      <c r="K858" s="8"/>
      <c r="S858" s="8"/>
      <c r="W858" s="8"/>
      <c r="X858" s="8"/>
    </row>
    <row r="859" customFormat="false" ht="15" hidden="false" customHeight="false" outlineLevel="0" collapsed="false">
      <c r="E859" s="8"/>
      <c r="F859" s="8"/>
      <c r="H859" s="8"/>
      <c r="K859" s="8"/>
      <c r="S859" s="8"/>
      <c r="W859" s="8"/>
      <c r="X859" s="8"/>
    </row>
    <row r="860" customFormat="false" ht="15" hidden="false" customHeight="false" outlineLevel="0" collapsed="false">
      <c r="E860" s="8"/>
      <c r="F860" s="8"/>
      <c r="H860" s="8"/>
      <c r="K860" s="8"/>
      <c r="S860" s="8"/>
      <c r="W860" s="8"/>
      <c r="X860" s="8"/>
    </row>
    <row r="861" customFormat="false" ht="15" hidden="false" customHeight="false" outlineLevel="0" collapsed="false">
      <c r="E861" s="8"/>
      <c r="F861" s="8"/>
      <c r="H861" s="8"/>
      <c r="K861" s="8"/>
      <c r="S861" s="8"/>
      <c r="W861" s="8"/>
      <c r="X861" s="8"/>
    </row>
    <row r="862" customFormat="false" ht="15" hidden="false" customHeight="false" outlineLevel="0" collapsed="false">
      <c r="E862" s="8"/>
      <c r="F862" s="8"/>
      <c r="H862" s="8"/>
      <c r="K862" s="8"/>
      <c r="S862" s="8"/>
      <c r="W862" s="8"/>
      <c r="X862" s="8"/>
    </row>
    <row r="863" customFormat="false" ht="15" hidden="false" customHeight="false" outlineLevel="0" collapsed="false">
      <c r="E863" s="8"/>
      <c r="F863" s="8"/>
      <c r="H863" s="8"/>
      <c r="K863" s="8"/>
      <c r="S863" s="8"/>
      <c r="W863" s="8"/>
      <c r="X863" s="8"/>
    </row>
    <row r="864" customFormat="false" ht="15" hidden="false" customHeight="false" outlineLevel="0" collapsed="false">
      <c r="E864" s="8"/>
      <c r="F864" s="8"/>
      <c r="H864" s="8"/>
      <c r="K864" s="8"/>
      <c r="S864" s="8"/>
      <c r="W864" s="8"/>
      <c r="X864" s="8"/>
    </row>
    <row r="865" customFormat="false" ht="15" hidden="false" customHeight="false" outlineLevel="0" collapsed="false">
      <c r="E865" s="8"/>
      <c r="F865" s="8"/>
      <c r="H865" s="8"/>
      <c r="K865" s="8"/>
      <c r="S865" s="8"/>
      <c r="W865" s="8"/>
      <c r="X865" s="8"/>
    </row>
    <row r="866" customFormat="false" ht="15" hidden="false" customHeight="false" outlineLevel="0" collapsed="false">
      <c r="E866" s="8"/>
      <c r="F866" s="8"/>
      <c r="H866" s="8"/>
      <c r="K866" s="8"/>
      <c r="S866" s="8"/>
      <c r="W866" s="8"/>
      <c r="X866" s="8"/>
    </row>
    <row r="867" customFormat="false" ht="15" hidden="false" customHeight="false" outlineLevel="0" collapsed="false">
      <c r="E867" s="8"/>
      <c r="F867" s="8"/>
      <c r="H867" s="8"/>
      <c r="K867" s="8"/>
      <c r="S867" s="8"/>
      <c r="W867" s="8"/>
      <c r="X867" s="8"/>
    </row>
    <row r="868" customFormat="false" ht="15" hidden="false" customHeight="false" outlineLevel="0" collapsed="false">
      <c r="E868" s="8"/>
      <c r="F868" s="8"/>
      <c r="H868" s="8"/>
      <c r="K868" s="8"/>
      <c r="S868" s="8"/>
      <c r="W868" s="8"/>
      <c r="X868" s="8"/>
    </row>
    <row r="869" customFormat="false" ht="15" hidden="false" customHeight="false" outlineLevel="0" collapsed="false">
      <c r="E869" s="8"/>
      <c r="F869" s="8"/>
      <c r="H869" s="8"/>
      <c r="K869" s="8"/>
      <c r="S869" s="8"/>
      <c r="W869" s="8"/>
      <c r="X869" s="8"/>
    </row>
    <row r="870" customFormat="false" ht="15" hidden="false" customHeight="false" outlineLevel="0" collapsed="false">
      <c r="E870" s="8"/>
      <c r="F870" s="8"/>
      <c r="H870" s="8"/>
      <c r="K870" s="8"/>
      <c r="S870" s="8"/>
      <c r="W870" s="8"/>
      <c r="X870" s="8"/>
    </row>
    <row r="871" customFormat="false" ht="15" hidden="false" customHeight="false" outlineLevel="0" collapsed="false">
      <c r="E871" s="8"/>
      <c r="F871" s="8"/>
      <c r="H871" s="8"/>
      <c r="K871" s="8"/>
      <c r="S871" s="8"/>
      <c r="W871" s="8"/>
      <c r="X871" s="8"/>
    </row>
    <row r="872" customFormat="false" ht="15" hidden="false" customHeight="false" outlineLevel="0" collapsed="false">
      <c r="E872" s="8"/>
      <c r="F872" s="8"/>
      <c r="H872" s="8"/>
      <c r="K872" s="8"/>
      <c r="S872" s="8"/>
      <c r="W872" s="8"/>
      <c r="X872" s="8"/>
    </row>
    <row r="873" customFormat="false" ht="15" hidden="false" customHeight="false" outlineLevel="0" collapsed="false">
      <c r="E873" s="8"/>
      <c r="F873" s="8"/>
      <c r="H873" s="8"/>
      <c r="K873" s="8"/>
      <c r="S873" s="8"/>
      <c r="W873" s="8"/>
      <c r="X873" s="8"/>
    </row>
    <row r="874" customFormat="false" ht="15" hidden="false" customHeight="false" outlineLevel="0" collapsed="false">
      <c r="E874" s="8"/>
      <c r="F874" s="8"/>
      <c r="H874" s="8"/>
      <c r="K874" s="8"/>
      <c r="S874" s="8"/>
      <c r="W874" s="8"/>
      <c r="X874" s="8"/>
    </row>
    <row r="875" customFormat="false" ht="15" hidden="false" customHeight="false" outlineLevel="0" collapsed="false">
      <c r="E875" s="8"/>
      <c r="F875" s="8"/>
      <c r="H875" s="8"/>
      <c r="K875" s="8"/>
      <c r="S875" s="8"/>
      <c r="W875" s="8"/>
      <c r="X875" s="8"/>
    </row>
    <row r="876" customFormat="false" ht="15" hidden="false" customHeight="false" outlineLevel="0" collapsed="false">
      <c r="E876" s="8"/>
      <c r="F876" s="8"/>
      <c r="H876" s="8"/>
      <c r="K876" s="8"/>
      <c r="S876" s="8"/>
      <c r="W876" s="8"/>
      <c r="X876" s="8"/>
    </row>
    <row r="877" customFormat="false" ht="15" hidden="false" customHeight="false" outlineLevel="0" collapsed="false">
      <c r="E877" s="8"/>
      <c r="F877" s="8"/>
      <c r="H877" s="8"/>
      <c r="K877" s="8"/>
      <c r="S877" s="8"/>
      <c r="W877" s="8"/>
      <c r="X877" s="8"/>
    </row>
    <row r="878" customFormat="false" ht="15" hidden="false" customHeight="false" outlineLevel="0" collapsed="false">
      <c r="E878" s="8"/>
      <c r="F878" s="8"/>
      <c r="H878" s="8"/>
      <c r="K878" s="8"/>
      <c r="S878" s="8"/>
      <c r="W878" s="8"/>
      <c r="X878" s="8"/>
    </row>
    <row r="879" customFormat="false" ht="15" hidden="false" customHeight="false" outlineLevel="0" collapsed="false">
      <c r="E879" s="8"/>
      <c r="F879" s="8"/>
      <c r="H879" s="8"/>
      <c r="K879" s="8"/>
      <c r="S879" s="8"/>
      <c r="W879" s="8"/>
      <c r="X879" s="8"/>
    </row>
    <row r="880" customFormat="false" ht="15" hidden="false" customHeight="false" outlineLevel="0" collapsed="false">
      <c r="E880" s="8"/>
      <c r="F880" s="8"/>
      <c r="H880" s="8"/>
      <c r="K880" s="8"/>
      <c r="S880" s="8"/>
      <c r="W880" s="8"/>
      <c r="X880" s="8"/>
    </row>
    <row r="881" customFormat="false" ht="15" hidden="false" customHeight="false" outlineLevel="0" collapsed="false">
      <c r="E881" s="8"/>
      <c r="F881" s="8"/>
      <c r="H881" s="8"/>
      <c r="K881" s="8"/>
      <c r="S881" s="8"/>
      <c r="W881" s="8"/>
      <c r="X881" s="8"/>
    </row>
    <row r="882" customFormat="false" ht="15" hidden="false" customHeight="false" outlineLevel="0" collapsed="false">
      <c r="E882" s="8"/>
      <c r="F882" s="8"/>
      <c r="H882" s="8"/>
      <c r="K882" s="8"/>
      <c r="S882" s="8"/>
      <c r="W882" s="8"/>
      <c r="X882" s="8"/>
    </row>
    <row r="883" customFormat="false" ht="15" hidden="false" customHeight="false" outlineLevel="0" collapsed="false">
      <c r="E883" s="8"/>
      <c r="F883" s="8"/>
      <c r="H883" s="8"/>
      <c r="K883" s="8"/>
      <c r="S883" s="8"/>
      <c r="W883" s="8"/>
      <c r="X883" s="8"/>
    </row>
    <row r="884" customFormat="false" ht="15" hidden="false" customHeight="false" outlineLevel="0" collapsed="false">
      <c r="E884" s="8"/>
      <c r="F884" s="8"/>
      <c r="H884" s="8"/>
      <c r="K884" s="8"/>
      <c r="S884" s="8"/>
      <c r="W884" s="8"/>
      <c r="X884" s="8"/>
    </row>
    <row r="885" customFormat="false" ht="15" hidden="false" customHeight="false" outlineLevel="0" collapsed="false">
      <c r="E885" s="8"/>
      <c r="F885" s="8"/>
      <c r="H885" s="8"/>
      <c r="K885" s="8"/>
      <c r="S885" s="8"/>
      <c r="W885" s="8"/>
      <c r="X885" s="8"/>
    </row>
    <row r="886" customFormat="false" ht="15" hidden="false" customHeight="false" outlineLevel="0" collapsed="false">
      <c r="E886" s="8"/>
      <c r="F886" s="8"/>
      <c r="H886" s="8"/>
      <c r="K886" s="8"/>
      <c r="S886" s="8"/>
      <c r="W886" s="8"/>
      <c r="X886" s="8"/>
    </row>
    <row r="887" customFormat="false" ht="15" hidden="false" customHeight="false" outlineLevel="0" collapsed="false">
      <c r="E887" s="8"/>
      <c r="F887" s="8"/>
      <c r="H887" s="8"/>
      <c r="K887" s="8"/>
      <c r="S887" s="8"/>
      <c r="W887" s="8"/>
      <c r="X887" s="8"/>
    </row>
    <row r="888" customFormat="false" ht="15" hidden="false" customHeight="false" outlineLevel="0" collapsed="false">
      <c r="E888" s="8"/>
      <c r="F888" s="8"/>
      <c r="H888" s="8"/>
      <c r="K888" s="8"/>
      <c r="S888" s="8"/>
      <c r="W888" s="8"/>
      <c r="X888" s="8"/>
    </row>
    <row r="889" customFormat="false" ht="15" hidden="false" customHeight="false" outlineLevel="0" collapsed="false">
      <c r="E889" s="8"/>
      <c r="F889" s="8"/>
      <c r="H889" s="8"/>
      <c r="K889" s="8"/>
      <c r="S889" s="8"/>
      <c r="W889" s="8"/>
      <c r="X889" s="8"/>
    </row>
    <row r="890" customFormat="false" ht="15" hidden="false" customHeight="false" outlineLevel="0" collapsed="false">
      <c r="E890" s="8"/>
      <c r="F890" s="8"/>
      <c r="H890" s="8"/>
      <c r="K890" s="8"/>
      <c r="S890" s="8"/>
      <c r="W890" s="8"/>
      <c r="X890" s="8"/>
    </row>
    <row r="891" customFormat="false" ht="15" hidden="false" customHeight="false" outlineLevel="0" collapsed="false">
      <c r="E891" s="8"/>
      <c r="F891" s="8"/>
      <c r="H891" s="8"/>
      <c r="K891" s="8"/>
      <c r="S891" s="8"/>
      <c r="W891" s="8"/>
      <c r="X891" s="8"/>
    </row>
    <row r="892" customFormat="false" ht="15" hidden="false" customHeight="false" outlineLevel="0" collapsed="false">
      <c r="E892" s="8"/>
      <c r="F892" s="8"/>
      <c r="H892" s="8"/>
      <c r="K892" s="8"/>
      <c r="S892" s="8"/>
      <c r="W892" s="8"/>
      <c r="X892" s="8"/>
    </row>
    <row r="893" customFormat="false" ht="15" hidden="false" customHeight="false" outlineLevel="0" collapsed="false">
      <c r="E893" s="8"/>
      <c r="F893" s="8"/>
      <c r="H893" s="8"/>
      <c r="K893" s="8"/>
      <c r="S893" s="8"/>
      <c r="W893" s="8"/>
      <c r="X893" s="8"/>
    </row>
    <row r="894" customFormat="false" ht="15" hidden="false" customHeight="false" outlineLevel="0" collapsed="false">
      <c r="E894" s="8"/>
      <c r="F894" s="8"/>
      <c r="H894" s="8"/>
      <c r="K894" s="8"/>
      <c r="S894" s="8"/>
      <c r="W894" s="8"/>
      <c r="X894" s="8"/>
    </row>
    <row r="895" customFormat="false" ht="15" hidden="false" customHeight="false" outlineLevel="0" collapsed="false">
      <c r="E895" s="8"/>
      <c r="F895" s="8"/>
      <c r="H895" s="8"/>
      <c r="K895" s="8"/>
      <c r="S895" s="8"/>
      <c r="W895" s="8"/>
      <c r="X895" s="8"/>
    </row>
    <row r="896" customFormat="false" ht="15" hidden="false" customHeight="false" outlineLevel="0" collapsed="false">
      <c r="E896" s="8"/>
      <c r="F896" s="8"/>
      <c r="H896" s="8"/>
      <c r="K896" s="8"/>
      <c r="S896" s="8"/>
      <c r="W896" s="8"/>
      <c r="X896" s="8"/>
    </row>
    <row r="897" customFormat="false" ht="15" hidden="false" customHeight="false" outlineLevel="0" collapsed="false">
      <c r="E897" s="8"/>
      <c r="F897" s="8"/>
      <c r="H897" s="8"/>
      <c r="K897" s="8"/>
      <c r="S897" s="8"/>
      <c r="W897" s="8"/>
      <c r="X897" s="8"/>
    </row>
    <row r="898" customFormat="false" ht="15" hidden="false" customHeight="false" outlineLevel="0" collapsed="false">
      <c r="E898" s="8"/>
      <c r="F898" s="8"/>
      <c r="H898" s="8"/>
      <c r="K898" s="8"/>
      <c r="S898" s="8"/>
      <c r="W898" s="8"/>
      <c r="X898" s="8"/>
    </row>
    <row r="899" customFormat="false" ht="15" hidden="false" customHeight="false" outlineLevel="0" collapsed="false">
      <c r="E899" s="8"/>
      <c r="F899" s="8"/>
      <c r="H899" s="8"/>
      <c r="K899" s="8"/>
      <c r="S899" s="8"/>
      <c r="W899" s="8"/>
      <c r="X899" s="8"/>
    </row>
    <row r="900" customFormat="false" ht="15" hidden="false" customHeight="false" outlineLevel="0" collapsed="false">
      <c r="E900" s="8"/>
      <c r="F900" s="8"/>
      <c r="H900" s="8"/>
      <c r="K900" s="8"/>
      <c r="S900" s="8"/>
      <c r="W900" s="8"/>
      <c r="X900" s="8"/>
    </row>
    <row r="901" customFormat="false" ht="15" hidden="false" customHeight="false" outlineLevel="0" collapsed="false">
      <c r="E901" s="8"/>
      <c r="F901" s="8"/>
      <c r="H901" s="8"/>
      <c r="K901" s="8"/>
      <c r="S901" s="8"/>
      <c r="W901" s="8"/>
      <c r="X901" s="8"/>
    </row>
    <row r="902" customFormat="false" ht="15" hidden="false" customHeight="false" outlineLevel="0" collapsed="false">
      <c r="E902" s="8"/>
      <c r="F902" s="8"/>
      <c r="H902" s="8"/>
      <c r="K902" s="8"/>
      <c r="S902" s="8"/>
      <c r="W902" s="8"/>
      <c r="X902" s="8"/>
    </row>
    <row r="903" customFormat="false" ht="15" hidden="false" customHeight="false" outlineLevel="0" collapsed="false">
      <c r="E903" s="8"/>
      <c r="F903" s="8"/>
      <c r="H903" s="8"/>
      <c r="K903" s="8"/>
      <c r="S903" s="8"/>
      <c r="W903" s="8"/>
      <c r="X903" s="8"/>
    </row>
    <row r="904" customFormat="false" ht="15" hidden="false" customHeight="false" outlineLevel="0" collapsed="false">
      <c r="E904" s="8"/>
      <c r="F904" s="8"/>
      <c r="H904" s="8"/>
      <c r="K904" s="8"/>
      <c r="S904" s="8"/>
      <c r="W904" s="8"/>
      <c r="X904" s="8"/>
    </row>
    <row r="905" customFormat="false" ht="15" hidden="false" customHeight="false" outlineLevel="0" collapsed="false">
      <c r="E905" s="8"/>
      <c r="F905" s="8"/>
      <c r="H905" s="8"/>
      <c r="K905" s="8"/>
      <c r="S905" s="8"/>
      <c r="W905" s="8"/>
      <c r="X905" s="8"/>
    </row>
    <row r="906" customFormat="false" ht="15" hidden="false" customHeight="false" outlineLevel="0" collapsed="false">
      <c r="E906" s="8"/>
      <c r="F906" s="8"/>
      <c r="H906" s="8"/>
      <c r="K906" s="8"/>
      <c r="S906" s="8"/>
      <c r="W906" s="8"/>
      <c r="X906" s="8"/>
    </row>
    <row r="907" customFormat="false" ht="15" hidden="false" customHeight="false" outlineLevel="0" collapsed="false">
      <c r="E907" s="8"/>
      <c r="F907" s="8"/>
      <c r="H907" s="8"/>
      <c r="K907" s="8"/>
      <c r="S907" s="8"/>
      <c r="W907" s="8"/>
      <c r="X907" s="8"/>
    </row>
    <row r="908" customFormat="false" ht="15" hidden="false" customHeight="false" outlineLevel="0" collapsed="false">
      <c r="E908" s="8"/>
      <c r="F908" s="8"/>
      <c r="H908" s="8"/>
      <c r="K908" s="8"/>
      <c r="S908" s="8"/>
      <c r="W908" s="8"/>
      <c r="X908" s="8"/>
    </row>
    <row r="909" customFormat="false" ht="15" hidden="false" customHeight="false" outlineLevel="0" collapsed="false">
      <c r="E909" s="8"/>
      <c r="F909" s="8"/>
      <c r="H909" s="8"/>
      <c r="K909" s="8"/>
      <c r="S909" s="8"/>
      <c r="W909" s="8"/>
      <c r="X909" s="8"/>
    </row>
    <row r="910" customFormat="false" ht="15" hidden="false" customHeight="false" outlineLevel="0" collapsed="false">
      <c r="E910" s="8"/>
      <c r="F910" s="8"/>
      <c r="H910" s="8"/>
      <c r="K910" s="8"/>
      <c r="S910" s="8"/>
      <c r="W910" s="8"/>
      <c r="X910" s="8"/>
    </row>
    <row r="911" customFormat="false" ht="15" hidden="false" customHeight="false" outlineLevel="0" collapsed="false">
      <c r="E911" s="8"/>
      <c r="F911" s="8"/>
      <c r="H911" s="8"/>
      <c r="K911" s="8"/>
      <c r="S911" s="8"/>
      <c r="W911" s="8"/>
      <c r="X911" s="8"/>
    </row>
    <row r="912" customFormat="false" ht="15" hidden="false" customHeight="false" outlineLevel="0" collapsed="false">
      <c r="E912" s="8"/>
      <c r="F912" s="8"/>
      <c r="H912" s="8"/>
      <c r="K912" s="8"/>
      <c r="S912" s="8"/>
      <c r="W912" s="8"/>
      <c r="X912" s="8"/>
    </row>
    <row r="913" customFormat="false" ht="15" hidden="false" customHeight="false" outlineLevel="0" collapsed="false">
      <c r="E913" s="8"/>
      <c r="F913" s="8"/>
      <c r="H913" s="8"/>
      <c r="K913" s="8"/>
      <c r="S913" s="8"/>
      <c r="W913" s="8"/>
      <c r="X913" s="8"/>
    </row>
    <row r="914" customFormat="false" ht="15" hidden="false" customHeight="false" outlineLevel="0" collapsed="false">
      <c r="E914" s="8"/>
      <c r="F914" s="8"/>
      <c r="H914" s="8"/>
      <c r="K914" s="8"/>
      <c r="S914" s="8"/>
      <c r="W914" s="8"/>
      <c r="X914" s="8"/>
    </row>
    <row r="915" customFormat="false" ht="15" hidden="false" customHeight="false" outlineLevel="0" collapsed="false">
      <c r="E915" s="8"/>
      <c r="F915" s="8"/>
      <c r="H915" s="8"/>
      <c r="K915" s="8"/>
      <c r="S915" s="8"/>
      <c r="W915" s="8"/>
      <c r="X915" s="8"/>
    </row>
    <row r="916" customFormat="false" ht="15" hidden="false" customHeight="false" outlineLevel="0" collapsed="false">
      <c r="E916" s="8"/>
      <c r="F916" s="8"/>
      <c r="H916" s="8"/>
      <c r="K916" s="8"/>
      <c r="S916" s="8"/>
      <c r="W916" s="8"/>
      <c r="X916" s="8"/>
    </row>
    <row r="917" customFormat="false" ht="15" hidden="false" customHeight="false" outlineLevel="0" collapsed="false">
      <c r="E917" s="8"/>
      <c r="F917" s="8"/>
      <c r="H917" s="8"/>
      <c r="K917" s="8"/>
      <c r="S917" s="8"/>
      <c r="W917" s="8"/>
      <c r="X917" s="8"/>
    </row>
    <row r="918" customFormat="false" ht="15" hidden="false" customHeight="false" outlineLevel="0" collapsed="false">
      <c r="E918" s="8"/>
      <c r="F918" s="8"/>
      <c r="H918" s="8"/>
      <c r="K918" s="8"/>
      <c r="S918" s="8"/>
      <c r="W918" s="8"/>
      <c r="X918" s="8"/>
    </row>
    <row r="919" customFormat="false" ht="15" hidden="false" customHeight="false" outlineLevel="0" collapsed="false">
      <c r="E919" s="8"/>
      <c r="F919" s="8"/>
      <c r="H919" s="8"/>
      <c r="K919" s="8"/>
      <c r="S919" s="8"/>
      <c r="W919" s="8"/>
      <c r="X919" s="8"/>
    </row>
    <row r="920" customFormat="false" ht="15" hidden="false" customHeight="false" outlineLevel="0" collapsed="false">
      <c r="E920" s="8"/>
      <c r="F920" s="8"/>
      <c r="H920" s="8"/>
      <c r="K920" s="8"/>
      <c r="S920" s="8"/>
      <c r="W920" s="8"/>
      <c r="X920" s="8"/>
    </row>
    <row r="921" customFormat="false" ht="15" hidden="false" customHeight="false" outlineLevel="0" collapsed="false">
      <c r="E921" s="8"/>
      <c r="F921" s="8"/>
      <c r="H921" s="8"/>
      <c r="K921" s="8"/>
      <c r="S921" s="8"/>
      <c r="W921" s="8"/>
      <c r="X921" s="8"/>
    </row>
    <row r="922" customFormat="false" ht="15" hidden="false" customHeight="false" outlineLevel="0" collapsed="false">
      <c r="E922" s="8"/>
      <c r="F922" s="8"/>
      <c r="H922" s="8"/>
      <c r="K922" s="8"/>
      <c r="S922" s="8"/>
      <c r="W922" s="8"/>
      <c r="X922" s="8"/>
    </row>
    <row r="923" customFormat="false" ht="15" hidden="false" customHeight="false" outlineLevel="0" collapsed="false">
      <c r="E923" s="8"/>
      <c r="F923" s="8"/>
      <c r="H923" s="8"/>
      <c r="K923" s="8"/>
      <c r="S923" s="8"/>
      <c r="W923" s="8"/>
      <c r="X923" s="8"/>
    </row>
    <row r="924" customFormat="false" ht="15" hidden="false" customHeight="false" outlineLevel="0" collapsed="false">
      <c r="E924" s="8"/>
      <c r="F924" s="8"/>
      <c r="H924" s="8"/>
      <c r="K924" s="8"/>
      <c r="S924" s="8"/>
      <c r="W924" s="8"/>
      <c r="X924" s="8"/>
    </row>
    <row r="925" customFormat="false" ht="15" hidden="false" customHeight="false" outlineLevel="0" collapsed="false">
      <c r="E925" s="8"/>
      <c r="F925" s="8"/>
      <c r="H925" s="8"/>
      <c r="K925" s="8"/>
      <c r="S925" s="8"/>
      <c r="W925" s="8"/>
      <c r="X925" s="8"/>
    </row>
    <row r="926" customFormat="false" ht="15" hidden="false" customHeight="false" outlineLevel="0" collapsed="false">
      <c r="E926" s="8"/>
      <c r="F926" s="8"/>
      <c r="H926" s="8"/>
      <c r="K926" s="8"/>
      <c r="S926" s="8"/>
      <c r="W926" s="8"/>
      <c r="X926" s="8"/>
    </row>
    <row r="927" customFormat="false" ht="15" hidden="false" customHeight="false" outlineLevel="0" collapsed="false">
      <c r="E927" s="8"/>
      <c r="F927" s="8"/>
      <c r="H927" s="8"/>
      <c r="K927" s="8"/>
      <c r="S927" s="8"/>
      <c r="W927" s="8"/>
      <c r="X927" s="8"/>
    </row>
    <row r="928" customFormat="false" ht="15" hidden="false" customHeight="false" outlineLevel="0" collapsed="false">
      <c r="E928" s="8"/>
      <c r="F928" s="8"/>
      <c r="H928" s="8"/>
      <c r="K928" s="8"/>
      <c r="S928" s="8"/>
      <c r="W928" s="8"/>
      <c r="X928" s="8"/>
    </row>
    <row r="929" customFormat="false" ht="15" hidden="false" customHeight="false" outlineLevel="0" collapsed="false">
      <c r="E929" s="8"/>
      <c r="F929" s="8"/>
      <c r="H929" s="8"/>
      <c r="K929" s="8"/>
      <c r="S929" s="8"/>
      <c r="W929" s="8"/>
      <c r="X929" s="8"/>
    </row>
    <row r="930" customFormat="false" ht="15" hidden="false" customHeight="false" outlineLevel="0" collapsed="false">
      <c r="E930" s="8"/>
      <c r="F930" s="8"/>
      <c r="H930" s="8"/>
      <c r="K930" s="8"/>
      <c r="S930" s="8"/>
      <c r="W930" s="8"/>
      <c r="X930" s="8"/>
    </row>
    <row r="931" customFormat="false" ht="15" hidden="false" customHeight="false" outlineLevel="0" collapsed="false">
      <c r="E931" s="8"/>
      <c r="F931" s="8"/>
      <c r="H931" s="8"/>
      <c r="K931" s="8"/>
      <c r="S931" s="8"/>
      <c r="W931" s="8"/>
      <c r="X931" s="8"/>
    </row>
    <row r="932" customFormat="false" ht="15" hidden="false" customHeight="false" outlineLevel="0" collapsed="false">
      <c r="E932" s="8"/>
      <c r="F932" s="8"/>
      <c r="H932" s="8"/>
      <c r="K932" s="8"/>
      <c r="S932" s="8"/>
      <c r="W932" s="8"/>
      <c r="X932" s="8"/>
    </row>
    <row r="933" customFormat="false" ht="15" hidden="false" customHeight="false" outlineLevel="0" collapsed="false">
      <c r="E933" s="8"/>
      <c r="F933" s="8"/>
      <c r="H933" s="8"/>
      <c r="K933" s="8"/>
      <c r="S933" s="8"/>
      <c r="W933" s="8"/>
      <c r="X933" s="8"/>
    </row>
    <row r="934" customFormat="false" ht="15" hidden="false" customHeight="false" outlineLevel="0" collapsed="false">
      <c r="E934" s="8"/>
      <c r="F934" s="8"/>
      <c r="H934" s="8"/>
      <c r="K934" s="8"/>
      <c r="S934" s="8"/>
      <c r="W934" s="8"/>
      <c r="X934" s="8"/>
    </row>
    <row r="935" customFormat="false" ht="15" hidden="false" customHeight="false" outlineLevel="0" collapsed="false">
      <c r="E935" s="8"/>
      <c r="F935" s="8"/>
      <c r="H935" s="8"/>
      <c r="K935" s="8"/>
      <c r="S935" s="8"/>
      <c r="W935" s="8"/>
      <c r="X935" s="8"/>
    </row>
    <row r="936" customFormat="false" ht="15" hidden="false" customHeight="false" outlineLevel="0" collapsed="false">
      <c r="E936" s="8"/>
      <c r="F936" s="8"/>
      <c r="H936" s="8"/>
      <c r="K936" s="8"/>
      <c r="S936" s="8"/>
      <c r="W936" s="8"/>
      <c r="X936" s="8"/>
    </row>
    <row r="937" customFormat="false" ht="15" hidden="false" customHeight="false" outlineLevel="0" collapsed="false">
      <c r="E937" s="8"/>
      <c r="F937" s="8"/>
      <c r="H937" s="8"/>
      <c r="K937" s="8"/>
      <c r="S937" s="8"/>
      <c r="W937" s="8"/>
      <c r="X937" s="8"/>
    </row>
    <row r="938" customFormat="false" ht="15" hidden="false" customHeight="false" outlineLevel="0" collapsed="false">
      <c r="E938" s="8"/>
      <c r="F938" s="8"/>
      <c r="H938" s="8"/>
      <c r="K938" s="8"/>
      <c r="S938" s="8"/>
      <c r="W938" s="8"/>
      <c r="X938" s="8"/>
    </row>
    <row r="939" customFormat="false" ht="15" hidden="false" customHeight="false" outlineLevel="0" collapsed="false">
      <c r="E939" s="8"/>
      <c r="F939" s="8"/>
      <c r="H939" s="8"/>
      <c r="K939" s="8"/>
      <c r="S939" s="8"/>
      <c r="W939" s="8"/>
      <c r="X939" s="8"/>
    </row>
    <row r="940" customFormat="false" ht="15" hidden="false" customHeight="false" outlineLevel="0" collapsed="false">
      <c r="E940" s="8"/>
      <c r="F940" s="8"/>
      <c r="H940" s="8"/>
      <c r="K940" s="8"/>
      <c r="S940" s="8"/>
      <c r="W940" s="8"/>
      <c r="X940" s="8"/>
    </row>
    <row r="941" customFormat="false" ht="15" hidden="false" customHeight="false" outlineLevel="0" collapsed="false">
      <c r="E941" s="8"/>
      <c r="F941" s="8"/>
      <c r="H941" s="8"/>
      <c r="K941" s="8"/>
      <c r="S941" s="8"/>
      <c r="W941" s="8"/>
      <c r="X941" s="8"/>
    </row>
    <row r="942" customFormat="false" ht="15" hidden="false" customHeight="false" outlineLevel="0" collapsed="false">
      <c r="E942" s="8"/>
      <c r="F942" s="8"/>
      <c r="H942" s="8"/>
      <c r="K942" s="8"/>
      <c r="S942" s="8"/>
      <c r="W942" s="8"/>
      <c r="X942" s="8"/>
    </row>
    <row r="943" customFormat="false" ht="15" hidden="false" customHeight="false" outlineLevel="0" collapsed="false">
      <c r="E943" s="8"/>
      <c r="F943" s="8"/>
      <c r="H943" s="8"/>
      <c r="K943" s="8"/>
      <c r="S943" s="8"/>
      <c r="W943" s="8"/>
      <c r="X943" s="8"/>
    </row>
    <row r="944" customFormat="false" ht="15" hidden="false" customHeight="false" outlineLevel="0" collapsed="false">
      <c r="E944" s="8"/>
      <c r="F944" s="8"/>
      <c r="H944" s="8"/>
      <c r="K944" s="8"/>
      <c r="S944" s="8"/>
      <c r="W944" s="8"/>
      <c r="X944" s="8"/>
    </row>
    <row r="945" customFormat="false" ht="15" hidden="false" customHeight="false" outlineLevel="0" collapsed="false">
      <c r="E945" s="8"/>
      <c r="F945" s="8"/>
      <c r="H945" s="8"/>
      <c r="K945" s="8"/>
      <c r="S945" s="8"/>
      <c r="W945" s="8"/>
      <c r="X945" s="8"/>
    </row>
    <row r="946" customFormat="false" ht="15" hidden="false" customHeight="false" outlineLevel="0" collapsed="false">
      <c r="E946" s="8"/>
      <c r="F946" s="8"/>
      <c r="H946" s="8"/>
      <c r="K946" s="8"/>
      <c r="S946" s="8"/>
      <c r="W946" s="8"/>
      <c r="X946" s="8"/>
    </row>
    <row r="947" customFormat="false" ht="15" hidden="false" customHeight="false" outlineLevel="0" collapsed="false">
      <c r="E947" s="8"/>
      <c r="F947" s="8"/>
      <c r="H947" s="8"/>
      <c r="K947" s="8"/>
      <c r="S947" s="8"/>
      <c r="W947" s="8"/>
      <c r="X947" s="8"/>
    </row>
    <row r="948" customFormat="false" ht="15" hidden="false" customHeight="false" outlineLevel="0" collapsed="false">
      <c r="E948" s="8"/>
      <c r="F948" s="8"/>
      <c r="H948" s="8"/>
      <c r="K948" s="8"/>
      <c r="S948" s="8"/>
      <c r="W948" s="8"/>
      <c r="X948" s="8"/>
    </row>
    <row r="949" customFormat="false" ht="15" hidden="false" customHeight="false" outlineLevel="0" collapsed="false">
      <c r="E949" s="8"/>
      <c r="F949" s="8"/>
      <c r="H949" s="8"/>
      <c r="K949" s="8"/>
      <c r="S949" s="8"/>
      <c r="W949" s="8"/>
      <c r="X949" s="8"/>
    </row>
    <row r="950" customFormat="false" ht="15" hidden="false" customHeight="false" outlineLevel="0" collapsed="false">
      <c r="E950" s="8"/>
      <c r="F950" s="8"/>
      <c r="H950" s="8"/>
      <c r="K950" s="8"/>
      <c r="S950" s="8"/>
      <c r="W950" s="8"/>
      <c r="X950" s="8"/>
    </row>
    <row r="951" customFormat="false" ht="15" hidden="false" customHeight="false" outlineLevel="0" collapsed="false">
      <c r="E951" s="8"/>
      <c r="F951" s="8"/>
      <c r="H951" s="8"/>
      <c r="K951" s="8"/>
      <c r="S951" s="8"/>
      <c r="W951" s="8"/>
      <c r="X951" s="8"/>
    </row>
    <row r="952" customFormat="false" ht="15" hidden="false" customHeight="false" outlineLevel="0" collapsed="false">
      <c r="E952" s="8"/>
      <c r="F952" s="8"/>
      <c r="H952" s="8"/>
      <c r="K952" s="8"/>
      <c r="S952" s="8"/>
      <c r="W952" s="8"/>
      <c r="X952" s="8"/>
    </row>
    <row r="953" customFormat="false" ht="15" hidden="false" customHeight="false" outlineLevel="0" collapsed="false">
      <c r="E953" s="8"/>
      <c r="F953" s="8"/>
      <c r="H953" s="8"/>
      <c r="K953" s="8"/>
      <c r="S953" s="8"/>
      <c r="W953" s="8"/>
      <c r="X953" s="8"/>
    </row>
    <row r="954" customFormat="false" ht="15" hidden="false" customHeight="false" outlineLevel="0" collapsed="false">
      <c r="E954" s="8"/>
      <c r="F954" s="8"/>
      <c r="H954" s="8"/>
      <c r="K954" s="8"/>
      <c r="S954" s="8"/>
      <c r="W954" s="8"/>
      <c r="X954" s="8"/>
    </row>
    <row r="955" customFormat="false" ht="15" hidden="false" customHeight="false" outlineLevel="0" collapsed="false">
      <c r="E955" s="8"/>
      <c r="F955" s="8"/>
      <c r="H955" s="8"/>
      <c r="K955" s="8"/>
      <c r="S955" s="8"/>
      <c r="W955" s="8"/>
      <c r="X955" s="8"/>
    </row>
    <row r="956" customFormat="false" ht="15" hidden="false" customHeight="false" outlineLevel="0" collapsed="false">
      <c r="E956" s="8"/>
      <c r="F956" s="8"/>
      <c r="H956" s="8"/>
      <c r="K956" s="8"/>
      <c r="S956" s="8"/>
      <c r="W956" s="8"/>
      <c r="X956" s="8"/>
    </row>
    <row r="957" customFormat="false" ht="15" hidden="false" customHeight="false" outlineLevel="0" collapsed="false">
      <c r="E957" s="8"/>
      <c r="F957" s="8"/>
      <c r="H957" s="8"/>
      <c r="K957" s="8"/>
      <c r="S957" s="8"/>
      <c r="W957" s="8"/>
      <c r="X957" s="8"/>
    </row>
    <row r="958" customFormat="false" ht="15" hidden="false" customHeight="false" outlineLevel="0" collapsed="false">
      <c r="E958" s="8"/>
      <c r="F958" s="8"/>
      <c r="H958" s="8"/>
      <c r="K958" s="8"/>
      <c r="S958" s="8"/>
      <c r="W958" s="8"/>
      <c r="X958" s="8"/>
    </row>
    <row r="959" customFormat="false" ht="15" hidden="false" customHeight="false" outlineLevel="0" collapsed="false">
      <c r="E959" s="8"/>
      <c r="F959" s="8"/>
      <c r="H959" s="8"/>
      <c r="K959" s="8"/>
      <c r="S959" s="8"/>
      <c r="W959" s="8"/>
      <c r="X959" s="8"/>
    </row>
    <row r="960" customFormat="false" ht="15" hidden="false" customHeight="false" outlineLevel="0" collapsed="false">
      <c r="E960" s="8"/>
      <c r="F960" s="8"/>
      <c r="H960" s="8"/>
      <c r="K960" s="8"/>
      <c r="S960" s="8"/>
      <c r="W960" s="8"/>
      <c r="X960" s="8"/>
    </row>
    <row r="961" customFormat="false" ht="15" hidden="false" customHeight="false" outlineLevel="0" collapsed="false">
      <c r="E961" s="8"/>
      <c r="F961" s="8"/>
      <c r="H961" s="8"/>
      <c r="K961" s="8"/>
      <c r="S961" s="8"/>
      <c r="W961" s="8"/>
      <c r="X961" s="8"/>
    </row>
    <row r="962" customFormat="false" ht="15" hidden="false" customHeight="false" outlineLevel="0" collapsed="false">
      <c r="E962" s="8"/>
      <c r="F962" s="8"/>
      <c r="H962" s="8"/>
      <c r="K962" s="8"/>
      <c r="S962" s="8"/>
      <c r="W962" s="8"/>
      <c r="X962" s="8"/>
    </row>
    <row r="963" customFormat="false" ht="15" hidden="false" customHeight="false" outlineLevel="0" collapsed="false">
      <c r="E963" s="8"/>
      <c r="F963" s="8"/>
      <c r="H963" s="8"/>
      <c r="K963" s="8"/>
      <c r="S963" s="8"/>
      <c r="W963" s="8"/>
      <c r="X963" s="8"/>
    </row>
    <row r="964" customFormat="false" ht="15" hidden="false" customHeight="false" outlineLevel="0" collapsed="false">
      <c r="E964" s="8"/>
      <c r="F964" s="8"/>
      <c r="H964" s="8"/>
      <c r="K964" s="8"/>
      <c r="S964" s="8"/>
      <c r="W964" s="8"/>
      <c r="X964" s="8"/>
    </row>
    <row r="965" customFormat="false" ht="15" hidden="false" customHeight="false" outlineLevel="0" collapsed="false">
      <c r="E965" s="8"/>
      <c r="F965" s="8"/>
      <c r="H965" s="8"/>
      <c r="K965" s="8"/>
      <c r="S965" s="8"/>
      <c r="W965" s="8"/>
      <c r="X965" s="8"/>
    </row>
    <row r="966" customFormat="false" ht="15" hidden="false" customHeight="false" outlineLevel="0" collapsed="false">
      <c r="E966" s="8"/>
      <c r="F966" s="8"/>
      <c r="H966" s="8"/>
      <c r="K966" s="8"/>
      <c r="S966" s="8"/>
      <c r="W966" s="8"/>
      <c r="X966" s="8"/>
    </row>
    <row r="967" customFormat="false" ht="15" hidden="false" customHeight="false" outlineLevel="0" collapsed="false">
      <c r="E967" s="8"/>
      <c r="F967" s="8"/>
      <c r="H967" s="8"/>
      <c r="K967" s="8"/>
      <c r="S967" s="8"/>
      <c r="W967" s="8"/>
      <c r="X967" s="8"/>
    </row>
    <row r="968" customFormat="false" ht="15" hidden="false" customHeight="false" outlineLevel="0" collapsed="false">
      <c r="E968" s="8"/>
      <c r="F968" s="8"/>
      <c r="H968" s="8"/>
      <c r="K968" s="8"/>
      <c r="S968" s="8"/>
      <c r="W968" s="8"/>
      <c r="X968" s="8"/>
    </row>
    <row r="969" customFormat="false" ht="15" hidden="false" customHeight="false" outlineLevel="0" collapsed="false">
      <c r="E969" s="8"/>
      <c r="F969" s="8"/>
      <c r="H969" s="8"/>
      <c r="K969" s="8"/>
      <c r="S969" s="8"/>
      <c r="W969" s="8"/>
      <c r="X969" s="8"/>
    </row>
    <row r="970" customFormat="false" ht="15" hidden="false" customHeight="false" outlineLevel="0" collapsed="false">
      <c r="E970" s="8"/>
      <c r="F970" s="8"/>
      <c r="H970" s="8"/>
      <c r="K970" s="8"/>
      <c r="S970" s="8"/>
      <c r="W970" s="8"/>
      <c r="X970" s="8"/>
    </row>
    <row r="971" customFormat="false" ht="15" hidden="false" customHeight="false" outlineLevel="0" collapsed="false">
      <c r="E971" s="8"/>
      <c r="F971" s="8"/>
      <c r="H971" s="8"/>
      <c r="K971" s="8"/>
      <c r="S971" s="8"/>
      <c r="W971" s="8"/>
      <c r="X971" s="8"/>
    </row>
    <row r="972" customFormat="false" ht="15" hidden="false" customHeight="false" outlineLevel="0" collapsed="false">
      <c r="E972" s="8"/>
      <c r="F972" s="8"/>
      <c r="H972" s="8"/>
      <c r="K972" s="8"/>
      <c r="S972" s="8"/>
      <c r="W972" s="8"/>
      <c r="X972" s="8"/>
    </row>
    <row r="973" customFormat="false" ht="15" hidden="false" customHeight="false" outlineLevel="0" collapsed="false">
      <c r="E973" s="8"/>
      <c r="F973" s="8"/>
      <c r="H973" s="8"/>
      <c r="K973" s="8"/>
      <c r="S973" s="8"/>
      <c r="W973" s="8"/>
      <c r="X973" s="8"/>
    </row>
    <row r="974" customFormat="false" ht="15" hidden="false" customHeight="false" outlineLevel="0" collapsed="false">
      <c r="E974" s="8"/>
      <c r="F974" s="8"/>
      <c r="H974" s="8"/>
      <c r="K974" s="8"/>
      <c r="S974" s="8"/>
      <c r="W974" s="8"/>
      <c r="X974" s="8"/>
    </row>
    <row r="975" customFormat="false" ht="15" hidden="false" customHeight="false" outlineLevel="0" collapsed="false">
      <c r="E975" s="8"/>
      <c r="F975" s="8"/>
      <c r="H975" s="8"/>
      <c r="K975" s="8"/>
      <c r="S975" s="8"/>
      <c r="W975" s="8"/>
      <c r="X975" s="8"/>
    </row>
    <row r="976" customFormat="false" ht="15" hidden="false" customHeight="false" outlineLevel="0" collapsed="false">
      <c r="E976" s="8"/>
      <c r="F976" s="8"/>
      <c r="H976" s="8"/>
      <c r="K976" s="8"/>
      <c r="S976" s="8"/>
      <c r="W976" s="8"/>
      <c r="X976" s="8"/>
    </row>
    <row r="977" customFormat="false" ht="15" hidden="false" customHeight="false" outlineLevel="0" collapsed="false">
      <c r="E977" s="8"/>
      <c r="F977" s="8"/>
      <c r="H977" s="8"/>
      <c r="K977" s="8"/>
      <c r="S977" s="8"/>
      <c r="W977" s="8"/>
      <c r="X977" s="8"/>
    </row>
    <row r="978" customFormat="false" ht="15" hidden="false" customHeight="false" outlineLevel="0" collapsed="false">
      <c r="E978" s="8"/>
      <c r="F978" s="8"/>
      <c r="H978" s="8"/>
      <c r="K978" s="8"/>
      <c r="S978" s="8"/>
      <c r="W978" s="8"/>
      <c r="X978" s="8"/>
    </row>
    <row r="979" customFormat="false" ht="15" hidden="false" customHeight="false" outlineLevel="0" collapsed="false">
      <c r="E979" s="8"/>
      <c r="F979" s="8"/>
      <c r="H979" s="8"/>
      <c r="K979" s="8"/>
      <c r="S979" s="8"/>
      <c r="W979" s="8"/>
      <c r="X979" s="8"/>
    </row>
    <row r="980" customFormat="false" ht="15" hidden="false" customHeight="false" outlineLevel="0" collapsed="false">
      <c r="E980" s="8"/>
      <c r="F980" s="8"/>
      <c r="H980" s="8"/>
      <c r="K980" s="8"/>
      <c r="S980" s="8"/>
      <c r="W980" s="8"/>
      <c r="X980" s="8"/>
    </row>
    <row r="981" customFormat="false" ht="15" hidden="false" customHeight="false" outlineLevel="0" collapsed="false">
      <c r="E981" s="8"/>
      <c r="F981" s="8"/>
      <c r="H981" s="8"/>
      <c r="K981" s="8"/>
      <c r="S981" s="8"/>
      <c r="W981" s="8"/>
      <c r="X981" s="8"/>
    </row>
    <row r="982" customFormat="false" ht="15" hidden="false" customHeight="false" outlineLevel="0" collapsed="false">
      <c r="E982" s="8"/>
      <c r="F982" s="8"/>
      <c r="H982" s="8"/>
      <c r="K982" s="8"/>
      <c r="S982" s="8"/>
      <c r="W982" s="8"/>
      <c r="X982" s="8"/>
    </row>
    <row r="983" customFormat="false" ht="15" hidden="false" customHeight="false" outlineLevel="0" collapsed="false">
      <c r="E983" s="8"/>
      <c r="F983" s="8"/>
      <c r="H983" s="8"/>
      <c r="K983" s="8"/>
      <c r="S983" s="8"/>
      <c r="W983" s="8"/>
      <c r="X983" s="8"/>
    </row>
    <row r="984" customFormat="false" ht="15" hidden="false" customHeight="false" outlineLevel="0" collapsed="false">
      <c r="E984" s="8"/>
      <c r="F984" s="8"/>
      <c r="H984" s="8"/>
      <c r="K984" s="8"/>
      <c r="S984" s="8"/>
      <c r="W984" s="8"/>
      <c r="X984" s="8"/>
    </row>
    <row r="985" customFormat="false" ht="15" hidden="false" customHeight="false" outlineLevel="0" collapsed="false">
      <c r="E985" s="8"/>
      <c r="F985" s="8"/>
      <c r="H985" s="8"/>
      <c r="K985" s="8"/>
      <c r="S985" s="8"/>
      <c r="W985" s="8"/>
      <c r="X985" s="8"/>
    </row>
    <row r="986" customFormat="false" ht="15" hidden="false" customHeight="false" outlineLevel="0" collapsed="false">
      <c r="E986" s="8"/>
      <c r="F986" s="8"/>
      <c r="H986" s="8"/>
      <c r="K986" s="8"/>
      <c r="S986" s="8"/>
      <c r="W986" s="8"/>
      <c r="X986" s="8"/>
    </row>
    <row r="987" customFormat="false" ht="15" hidden="false" customHeight="false" outlineLevel="0" collapsed="false">
      <c r="E987" s="8"/>
      <c r="F987" s="8"/>
      <c r="H987" s="8"/>
      <c r="K987" s="8"/>
      <c r="S987" s="8"/>
      <c r="W987" s="8"/>
      <c r="X987" s="8"/>
    </row>
    <row r="988" customFormat="false" ht="15" hidden="false" customHeight="false" outlineLevel="0" collapsed="false">
      <c r="E988" s="8"/>
      <c r="F988" s="8"/>
      <c r="H988" s="8"/>
      <c r="K988" s="8"/>
      <c r="S988" s="8"/>
      <c r="W988" s="8"/>
      <c r="X988" s="8"/>
    </row>
    <row r="989" customFormat="false" ht="15" hidden="false" customHeight="false" outlineLevel="0" collapsed="false">
      <c r="E989" s="8"/>
      <c r="F989" s="8"/>
      <c r="H989" s="8"/>
      <c r="K989" s="8"/>
      <c r="S989" s="8"/>
      <c r="W989" s="8"/>
      <c r="X989" s="8"/>
    </row>
    <row r="990" customFormat="false" ht="15" hidden="false" customHeight="false" outlineLevel="0" collapsed="false">
      <c r="E990" s="8"/>
      <c r="F990" s="8"/>
      <c r="H990" s="8"/>
      <c r="K990" s="8"/>
      <c r="S990" s="8"/>
      <c r="W990" s="8"/>
      <c r="X990" s="8"/>
    </row>
    <row r="991" customFormat="false" ht="15" hidden="false" customHeight="false" outlineLevel="0" collapsed="false">
      <c r="E991" s="8"/>
      <c r="F991" s="8"/>
      <c r="H991" s="8"/>
      <c r="K991" s="8"/>
      <c r="S991" s="8"/>
      <c r="W991" s="8"/>
      <c r="X991" s="8"/>
    </row>
    <row r="992" customFormat="false" ht="15" hidden="false" customHeight="false" outlineLevel="0" collapsed="false">
      <c r="E992" s="8"/>
      <c r="F992" s="8"/>
      <c r="H992" s="8"/>
      <c r="K992" s="8"/>
      <c r="S992" s="8"/>
      <c r="W992" s="8"/>
      <c r="X992" s="8"/>
    </row>
    <row r="993" customFormat="false" ht="15" hidden="false" customHeight="false" outlineLevel="0" collapsed="false">
      <c r="E993" s="8"/>
      <c r="F993" s="8"/>
      <c r="H993" s="8"/>
      <c r="K993" s="8"/>
      <c r="S993" s="8"/>
      <c r="W993" s="8"/>
      <c r="X993" s="8"/>
    </row>
    <row r="994" customFormat="false" ht="15" hidden="false" customHeight="false" outlineLevel="0" collapsed="false">
      <c r="E994" s="8"/>
      <c r="F994" s="8"/>
      <c r="H994" s="8"/>
      <c r="K994" s="8"/>
      <c r="S994" s="8"/>
      <c r="W994" s="8"/>
      <c r="X994" s="8"/>
    </row>
    <row r="995" customFormat="false" ht="15" hidden="false" customHeight="false" outlineLevel="0" collapsed="false">
      <c r="E995" s="8"/>
      <c r="F995" s="8"/>
      <c r="H995" s="8"/>
      <c r="K995" s="8"/>
      <c r="S995" s="8"/>
      <c r="W995" s="8"/>
      <c r="X995" s="8"/>
    </row>
    <row r="996" customFormat="false" ht="15" hidden="false" customHeight="false" outlineLevel="0" collapsed="false">
      <c r="E996" s="8"/>
      <c r="F996" s="8"/>
      <c r="H996" s="8"/>
      <c r="K996" s="8"/>
      <c r="S996" s="8"/>
      <c r="W996" s="8"/>
      <c r="X996" s="8"/>
    </row>
    <row r="997" customFormat="false" ht="15" hidden="false" customHeight="false" outlineLevel="0" collapsed="false">
      <c r="E997" s="8"/>
      <c r="F997" s="8"/>
      <c r="H997" s="8"/>
      <c r="K997" s="8"/>
      <c r="S997" s="8"/>
      <c r="W997" s="8"/>
      <c r="X997" s="8"/>
    </row>
    <row r="998" customFormat="false" ht="15" hidden="false" customHeight="false" outlineLevel="0" collapsed="false">
      <c r="E998" s="8"/>
      <c r="F998" s="8"/>
      <c r="H998" s="8"/>
      <c r="K998" s="8"/>
      <c r="S998" s="8"/>
      <c r="W998" s="8"/>
      <c r="X998" s="8"/>
    </row>
    <row r="999" customFormat="false" ht="15" hidden="false" customHeight="false" outlineLevel="0" collapsed="false">
      <c r="E999" s="8"/>
      <c r="F999" s="8"/>
      <c r="H999" s="8"/>
      <c r="K999" s="8"/>
      <c r="S999" s="8"/>
      <c r="W999" s="8"/>
      <c r="X999" s="8"/>
    </row>
    <row r="1000" customFormat="false" ht="15" hidden="false" customHeight="false" outlineLevel="0" collapsed="false">
      <c r="E1000" s="8"/>
      <c r="F1000" s="8"/>
      <c r="H1000" s="8"/>
      <c r="K1000" s="8"/>
      <c r="S1000" s="8"/>
      <c r="W1000" s="8"/>
      <c r="X1000" s="8"/>
    </row>
    <row r="1001" customFormat="false" ht="15" hidden="false" customHeight="false" outlineLevel="0" collapsed="false">
      <c r="E1001" s="8"/>
      <c r="F1001" s="8"/>
      <c r="H1001" s="8"/>
      <c r="K1001" s="8"/>
      <c r="S1001" s="8"/>
      <c r="W1001" s="8"/>
      <c r="X1001" s="8"/>
    </row>
    <row r="1002" customFormat="false" ht="15" hidden="false" customHeight="false" outlineLevel="0" collapsed="false">
      <c r="E1002" s="8"/>
      <c r="F1002" s="8"/>
      <c r="H1002" s="8"/>
      <c r="K1002" s="8"/>
      <c r="S1002" s="8"/>
      <c r="W1002" s="8"/>
      <c r="X1002" s="8"/>
    </row>
    <row r="1003" customFormat="false" ht="15" hidden="false" customHeight="false" outlineLevel="0" collapsed="false">
      <c r="E1003" s="8"/>
      <c r="F1003" s="8"/>
      <c r="H1003" s="8"/>
      <c r="K1003" s="8"/>
      <c r="S1003" s="8"/>
      <c r="W1003" s="8"/>
      <c r="X1003" s="8"/>
    </row>
    <row r="1004" customFormat="false" ht="15" hidden="false" customHeight="false" outlineLevel="0" collapsed="false">
      <c r="E1004" s="8"/>
      <c r="F1004" s="8"/>
      <c r="H1004" s="8"/>
      <c r="K1004" s="8"/>
      <c r="S1004" s="8"/>
      <c r="W1004" s="8"/>
      <c r="X1004" s="8"/>
    </row>
    <row r="1005" customFormat="false" ht="15" hidden="false" customHeight="false" outlineLevel="0" collapsed="false">
      <c r="E1005" s="8"/>
      <c r="F1005" s="8"/>
      <c r="H1005" s="8"/>
      <c r="K1005" s="8"/>
      <c r="S1005" s="8"/>
      <c r="W1005" s="8"/>
      <c r="X1005" s="8"/>
    </row>
    <row r="1006" customFormat="false" ht="15" hidden="false" customHeight="false" outlineLevel="0" collapsed="false">
      <c r="E1006" s="8"/>
      <c r="F1006" s="8"/>
      <c r="H1006" s="8"/>
      <c r="K1006" s="8"/>
      <c r="S1006" s="8"/>
      <c r="W1006" s="8"/>
      <c r="X1006" s="8"/>
    </row>
    <row r="1007" customFormat="false" ht="15" hidden="false" customHeight="false" outlineLevel="0" collapsed="false">
      <c r="E1007" s="8"/>
      <c r="F1007" s="8"/>
      <c r="H1007" s="8"/>
      <c r="K1007" s="8"/>
      <c r="S1007" s="8"/>
      <c r="W1007" s="8"/>
      <c r="X1007" s="8"/>
    </row>
    <row r="1008" customFormat="false" ht="15" hidden="false" customHeight="false" outlineLevel="0" collapsed="false">
      <c r="E1008" s="8"/>
      <c r="F1008" s="8"/>
      <c r="H1008" s="8"/>
      <c r="K1008" s="8"/>
      <c r="S1008" s="8"/>
      <c r="W1008" s="8"/>
      <c r="X1008" s="8"/>
    </row>
    <row r="1009" customFormat="false" ht="15" hidden="false" customHeight="false" outlineLevel="0" collapsed="false">
      <c r="E1009" s="8"/>
      <c r="F1009" s="8"/>
      <c r="H1009" s="8"/>
      <c r="K1009" s="8"/>
      <c r="S1009" s="8"/>
      <c r="W1009" s="8"/>
      <c r="X1009" s="8"/>
    </row>
    <row r="1010" customFormat="false" ht="15" hidden="false" customHeight="false" outlineLevel="0" collapsed="false">
      <c r="E1010" s="8"/>
      <c r="F1010" s="8"/>
      <c r="H1010" s="8"/>
      <c r="K1010" s="8"/>
      <c r="S1010" s="8"/>
      <c r="W1010" s="8"/>
      <c r="X1010" s="8"/>
    </row>
    <row r="1011" customFormat="false" ht="15" hidden="false" customHeight="false" outlineLevel="0" collapsed="false">
      <c r="E1011" s="8"/>
      <c r="F1011" s="8"/>
      <c r="H1011" s="8"/>
      <c r="K1011" s="8"/>
      <c r="S1011" s="8"/>
      <c r="W1011" s="8"/>
      <c r="X1011" s="8"/>
    </row>
    <row r="1012" customFormat="false" ht="15" hidden="false" customHeight="false" outlineLevel="0" collapsed="false">
      <c r="E1012" s="8"/>
      <c r="F1012" s="8"/>
      <c r="H1012" s="8"/>
      <c r="K1012" s="8"/>
      <c r="S1012" s="8"/>
      <c r="W1012" s="8"/>
      <c r="X1012" s="8"/>
    </row>
    <row r="1013" customFormat="false" ht="15" hidden="false" customHeight="false" outlineLevel="0" collapsed="false">
      <c r="E1013" s="8"/>
      <c r="F1013" s="8"/>
      <c r="H1013" s="8"/>
      <c r="K1013" s="8"/>
      <c r="S1013" s="8"/>
      <c r="W1013" s="8"/>
      <c r="X1013" s="8"/>
    </row>
    <row r="1014" customFormat="false" ht="15" hidden="false" customHeight="false" outlineLevel="0" collapsed="false">
      <c r="E1014" s="8"/>
      <c r="F1014" s="8"/>
      <c r="H1014" s="8"/>
      <c r="K1014" s="8"/>
      <c r="S1014" s="8"/>
      <c r="W1014" s="8"/>
      <c r="X1014" s="8"/>
    </row>
    <row r="1015" customFormat="false" ht="15" hidden="false" customHeight="false" outlineLevel="0" collapsed="false">
      <c r="E1015" s="8"/>
      <c r="F1015" s="8"/>
      <c r="H1015" s="8"/>
      <c r="K1015" s="8"/>
      <c r="S1015" s="8"/>
      <c r="W1015" s="8"/>
      <c r="X1015" s="8"/>
    </row>
    <row r="1016" customFormat="false" ht="15" hidden="false" customHeight="false" outlineLevel="0" collapsed="false">
      <c r="E1016" s="8"/>
      <c r="F1016" s="8"/>
      <c r="H1016" s="8"/>
      <c r="K1016" s="8"/>
      <c r="S1016" s="8"/>
      <c r="W1016" s="8"/>
      <c r="X1016" s="8"/>
    </row>
    <row r="1017" customFormat="false" ht="15" hidden="false" customHeight="false" outlineLevel="0" collapsed="false">
      <c r="E1017" s="8"/>
      <c r="F1017" s="8"/>
      <c r="H1017" s="8"/>
      <c r="K1017" s="8"/>
      <c r="S1017" s="8"/>
      <c r="W1017" s="8"/>
      <c r="X1017" s="8"/>
    </row>
    <row r="1018" customFormat="false" ht="15" hidden="false" customHeight="false" outlineLevel="0" collapsed="false">
      <c r="E1018" s="8"/>
      <c r="F1018" s="8"/>
      <c r="H1018" s="8"/>
      <c r="K1018" s="8"/>
      <c r="S1018" s="8"/>
      <c r="W1018" s="8"/>
      <c r="X1018" s="8"/>
    </row>
    <row r="1019" customFormat="false" ht="15" hidden="false" customHeight="false" outlineLevel="0" collapsed="false">
      <c r="E1019" s="8"/>
      <c r="F1019" s="8"/>
      <c r="H1019" s="8"/>
      <c r="K1019" s="8"/>
      <c r="S1019" s="8"/>
      <c r="W1019" s="8"/>
      <c r="X1019" s="8"/>
    </row>
    <row r="1020" customFormat="false" ht="15" hidden="false" customHeight="false" outlineLevel="0" collapsed="false">
      <c r="E1020" s="8"/>
      <c r="F1020" s="8"/>
      <c r="H1020" s="8"/>
      <c r="K1020" s="8"/>
      <c r="S1020" s="8"/>
      <c r="W1020" s="8"/>
      <c r="X1020" s="8"/>
    </row>
    <row r="1021" customFormat="false" ht="15" hidden="false" customHeight="false" outlineLevel="0" collapsed="false">
      <c r="E1021" s="8"/>
      <c r="F1021" s="8"/>
      <c r="H1021" s="8"/>
      <c r="K1021" s="8"/>
      <c r="S1021" s="8"/>
      <c r="W1021" s="8"/>
      <c r="X1021" s="8"/>
    </row>
    <row r="1022" customFormat="false" ht="15" hidden="false" customHeight="false" outlineLevel="0" collapsed="false">
      <c r="E1022" s="8"/>
      <c r="F1022" s="8"/>
      <c r="H1022" s="8"/>
      <c r="K1022" s="8"/>
      <c r="S1022" s="8"/>
      <c r="W1022" s="8"/>
      <c r="X1022" s="8"/>
    </row>
    <row r="1023" customFormat="false" ht="15" hidden="false" customHeight="false" outlineLevel="0" collapsed="false">
      <c r="E1023" s="8"/>
      <c r="F1023" s="8"/>
      <c r="H1023" s="8"/>
      <c r="K1023" s="8"/>
      <c r="S1023" s="8"/>
      <c r="W1023" s="8"/>
      <c r="X1023" s="8"/>
    </row>
    <row r="1024" customFormat="false" ht="15" hidden="false" customHeight="false" outlineLevel="0" collapsed="false">
      <c r="E1024" s="8"/>
      <c r="F1024" s="8"/>
      <c r="H1024" s="8"/>
      <c r="K1024" s="8"/>
      <c r="S1024" s="8"/>
      <c r="W1024" s="8"/>
      <c r="X1024" s="8"/>
    </row>
    <row r="1025" customFormat="false" ht="15" hidden="false" customHeight="false" outlineLevel="0" collapsed="false">
      <c r="E1025" s="8"/>
      <c r="F1025" s="8"/>
      <c r="H1025" s="8"/>
      <c r="K1025" s="8"/>
      <c r="S1025" s="8"/>
      <c r="W1025" s="8"/>
      <c r="X1025" s="8"/>
    </row>
    <row r="1026" customFormat="false" ht="15" hidden="false" customHeight="false" outlineLevel="0" collapsed="false">
      <c r="E1026" s="8"/>
      <c r="F1026" s="8"/>
      <c r="H1026" s="8"/>
      <c r="K1026" s="8"/>
      <c r="S1026" s="8"/>
      <c r="W1026" s="8"/>
      <c r="X1026" s="8"/>
    </row>
    <row r="1027" customFormat="false" ht="15" hidden="false" customHeight="false" outlineLevel="0" collapsed="false">
      <c r="E1027" s="8"/>
      <c r="F1027" s="8"/>
      <c r="H1027" s="8"/>
      <c r="K1027" s="8"/>
      <c r="S1027" s="8"/>
      <c r="W1027" s="8"/>
      <c r="X1027" s="8"/>
    </row>
    <row r="1028" customFormat="false" ht="15" hidden="false" customHeight="false" outlineLevel="0" collapsed="false">
      <c r="E1028" s="8"/>
      <c r="F1028" s="8"/>
      <c r="H1028" s="8"/>
      <c r="K1028" s="8"/>
      <c r="S1028" s="8"/>
      <c r="W1028" s="8"/>
      <c r="X1028" s="8"/>
    </row>
    <row r="1029" customFormat="false" ht="15" hidden="false" customHeight="false" outlineLevel="0" collapsed="false">
      <c r="E1029" s="8"/>
      <c r="F1029" s="8"/>
      <c r="H1029" s="8"/>
      <c r="K1029" s="8"/>
      <c r="S1029" s="8"/>
      <c r="W1029" s="8"/>
      <c r="X1029" s="8"/>
    </row>
    <row r="1030" customFormat="false" ht="15" hidden="false" customHeight="false" outlineLevel="0" collapsed="false">
      <c r="E1030" s="8"/>
      <c r="F1030" s="8"/>
      <c r="H1030" s="8"/>
      <c r="K1030" s="8"/>
      <c r="S1030" s="8"/>
      <c r="W1030" s="8"/>
      <c r="X1030" s="8"/>
    </row>
    <row r="1031" customFormat="false" ht="15" hidden="false" customHeight="false" outlineLevel="0" collapsed="false">
      <c r="E1031" s="8"/>
      <c r="F1031" s="8"/>
      <c r="H1031" s="8"/>
      <c r="K1031" s="8"/>
      <c r="S1031" s="8"/>
      <c r="W1031" s="8"/>
      <c r="X1031" s="8"/>
    </row>
    <row r="1032" customFormat="false" ht="15" hidden="false" customHeight="false" outlineLevel="0" collapsed="false">
      <c r="E1032" s="8"/>
      <c r="F1032" s="8"/>
      <c r="H1032" s="8"/>
      <c r="K1032" s="8"/>
      <c r="S1032" s="8"/>
      <c r="W1032" s="8"/>
      <c r="X1032" s="8"/>
    </row>
    <row r="1033" customFormat="false" ht="15" hidden="false" customHeight="false" outlineLevel="0" collapsed="false">
      <c r="E1033" s="8"/>
      <c r="F1033" s="8"/>
      <c r="H1033" s="8"/>
      <c r="K1033" s="8"/>
      <c r="S1033" s="8"/>
      <c r="W1033" s="8"/>
      <c r="X1033" s="8"/>
    </row>
    <row r="1034" customFormat="false" ht="15" hidden="false" customHeight="false" outlineLevel="0" collapsed="false">
      <c r="E1034" s="8"/>
      <c r="F1034" s="8"/>
      <c r="H1034" s="8"/>
      <c r="K1034" s="8"/>
      <c r="S1034" s="8"/>
      <c r="W1034" s="8"/>
      <c r="X1034" s="8"/>
    </row>
    <row r="1035" customFormat="false" ht="15" hidden="false" customHeight="false" outlineLevel="0" collapsed="false">
      <c r="E1035" s="8"/>
      <c r="F1035" s="8"/>
      <c r="H1035" s="8"/>
      <c r="K1035" s="8"/>
      <c r="S1035" s="8"/>
      <c r="W1035" s="8"/>
      <c r="X1035" s="8"/>
    </row>
    <row r="1036" customFormat="false" ht="15" hidden="false" customHeight="false" outlineLevel="0" collapsed="false">
      <c r="E1036" s="8"/>
      <c r="F1036" s="8"/>
      <c r="H1036" s="8"/>
      <c r="K1036" s="8"/>
      <c r="S1036" s="8"/>
      <c r="W1036" s="8"/>
      <c r="X1036" s="8"/>
    </row>
    <row r="1037" customFormat="false" ht="15" hidden="false" customHeight="false" outlineLevel="0" collapsed="false">
      <c r="E1037" s="8"/>
      <c r="F1037" s="8"/>
      <c r="H1037" s="8"/>
      <c r="K1037" s="8"/>
      <c r="S1037" s="8"/>
      <c r="W1037" s="8"/>
      <c r="X1037" s="8"/>
    </row>
    <row r="1038" customFormat="false" ht="15" hidden="false" customHeight="false" outlineLevel="0" collapsed="false">
      <c r="E1038" s="8"/>
      <c r="F1038" s="8"/>
      <c r="H1038" s="8"/>
      <c r="K1038" s="8"/>
      <c r="S1038" s="8"/>
      <c r="W1038" s="8"/>
      <c r="X1038" s="8"/>
    </row>
    <row r="1039" customFormat="false" ht="15" hidden="false" customHeight="false" outlineLevel="0" collapsed="false">
      <c r="E1039" s="8"/>
      <c r="F1039" s="8"/>
      <c r="H1039" s="8"/>
      <c r="K1039" s="8"/>
      <c r="S1039" s="8"/>
      <c r="W1039" s="8"/>
      <c r="X1039" s="8"/>
    </row>
    <row r="1040" customFormat="false" ht="15" hidden="false" customHeight="false" outlineLevel="0" collapsed="false">
      <c r="E1040" s="8"/>
      <c r="F1040" s="8"/>
      <c r="H1040" s="8"/>
      <c r="K1040" s="8"/>
      <c r="S1040" s="8"/>
      <c r="W1040" s="8"/>
      <c r="X1040" s="8"/>
    </row>
    <row r="1041" customFormat="false" ht="15" hidden="false" customHeight="false" outlineLevel="0" collapsed="false">
      <c r="E1041" s="8"/>
      <c r="F1041" s="8"/>
      <c r="H1041" s="8"/>
      <c r="K1041" s="8"/>
      <c r="S1041" s="8"/>
      <c r="W1041" s="8"/>
      <c r="X1041" s="8"/>
    </row>
    <row r="1042" customFormat="false" ht="15" hidden="false" customHeight="false" outlineLevel="0" collapsed="false">
      <c r="E1042" s="8"/>
      <c r="F1042" s="8"/>
      <c r="H1042" s="8"/>
      <c r="K1042" s="8"/>
      <c r="S1042" s="8"/>
      <c r="W1042" s="8"/>
      <c r="X1042" s="8"/>
    </row>
    <row r="1043" customFormat="false" ht="15" hidden="false" customHeight="false" outlineLevel="0" collapsed="false">
      <c r="E1043" s="8"/>
      <c r="F1043" s="8"/>
      <c r="H1043" s="8"/>
      <c r="K1043" s="8"/>
      <c r="S1043" s="8"/>
      <c r="W1043" s="8"/>
      <c r="X1043" s="8"/>
    </row>
    <row r="1044" customFormat="false" ht="15" hidden="false" customHeight="false" outlineLevel="0" collapsed="false">
      <c r="E1044" s="8"/>
      <c r="F1044" s="8"/>
      <c r="H1044" s="8"/>
      <c r="K1044" s="8"/>
      <c r="S1044" s="8"/>
      <c r="W1044" s="8"/>
      <c r="X1044" s="8"/>
    </row>
    <row r="1045" customFormat="false" ht="15" hidden="false" customHeight="false" outlineLevel="0" collapsed="false">
      <c r="E1045" s="8"/>
      <c r="F1045" s="8"/>
      <c r="H1045" s="8"/>
      <c r="K1045" s="8"/>
      <c r="S1045" s="8"/>
      <c r="W1045" s="8"/>
      <c r="X1045" s="8"/>
    </row>
    <row r="1046" customFormat="false" ht="15" hidden="false" customHeight="false" outlineLevel="0" collapsed="false">
      <c r="E1046" s="8"/>
      <c r="F1046" s="8"/>
      <c r="H1046" s="8"/>
      <c r="K1046" s="8"/>
      <c r="S1046" s="8"/>
      <c r="W1046" s="8"/>
      <c r="X1046" s="8"/>
    </row>
    <row r="1047" customFormat="false" ht="15" hidden="false" customHeight="false" outlineLevel="0" collapsed="false">
      <c r="E1047" s="8"/>
      <c r="F1047" s="8"/>
      <c r="H1047" s="8"/>
      <c r="K1047" s="8"/>
      <c r="S1047" s="8"/>
      <c r="W1047" s="8"/>
      <c r="X1047" s="8"/>
    </row>
    <row r="1048" customFormat="false" ht="15" hidden="false" customHeight="false" outlineLevel="0" collapsed="false">
      <c r="E1048" s="8"/>
      <c r="F1048" s="8"/>
      <c r="H1048" s="8"/>
      <c r="K1048" s="8"/>
      <c r="S1048" s="8"/>
      <c r="W1048" s="8"/>
      <c r="X1048" s="8"/>
    </row>
    <row r="1049" customFormat="false" ht="15" hidden="false" customHeight="false" outlineLevel="0" collapsed="false">
      <c r="E1049" s="8"/>
      <c r="F1049" s="8"/>
      <c r="H1049" s="8"/>
      <c r="K1049" s="8"/>
      <c r="S1049" s="8"/>
      <c r="W1049" s="8"/>
      <c r="X1049" s="8"/>
    </row>
    <row r="1050" customFormat="false" ht="15" hidden="false" customHeight="false" outlineLevel="0" collapsed="false">
      <c r="E1050" s="8"/>
      <c r="F1050" s="8"/>
      <c r="H1050" s="8"/>
      <c r="K1050" s="8"/>
      <c r="S1050" s="8"/>
      <c r="W1050" s="8"/>
      <c r="X1050" s="8"/>
    </row>
    <row r="1051" customFormat="false" ht="15" hidden="false" customHeight="false" outlineLevel="0" collapsed="false">
      <c r="E1051" s="8"/>
      <c r="F1051" s="8"/>
      <c r="H1051" s="8"/>
      <c r="K1051" s="8"/>
      <c r="S1051" s="8"/>
      <c r="W1051" s="8"/>
      <c r="X1051" s="8"/>
    </row>
    <row r="1052" customFormat="false" ht="15" hidden="false" customHeight="false" outlineLevel="0" collapsed="false">
      <c r="E1052" s="8"/>
      <c r="F1052" s="8"/>
      <c r="H1052" s="8"/>
      <c r="K1052" s="8"/>
      <c r="S1052" s="8"/>
      <c r="W1052" s="8"/>
      <c r="X1052" s="8"/>
    </row>
    <row r="1053" customFormat="false" ht="15" hidden="false" customHeight="false" outlineLevel="0" collapsed="false">
      <c r="E1053" s="8"/>
      <c r="F1053" s="8"/>
      <c r="H1053" s="8"/>
      <c r="K1053" s="8"/>
      <c r="S1053" s="8"/>
      <c r="W1053" s="8"/>
      <c r="X1053" s="8"/>
    </row>
    <row r="1054" customFormat="false" ht="15" hidden="false" customHeight="false" outlineLevel="0" collapsed="false">
      <c r="E1054" s="8"/>
      <c r="F1054" s="8"/>
      <c r="H1054" s="8"/>
      <c r="K1054" s="8"/>
      <c r="S1054" s="8"/>
      <c r="W1054" s="8"/>
      <c r="X1054" s="8"/>
    </row>
    <row r="1055" customFormat="false" ht="15" hidden="false" customHeight="false" outlineLevel="0" collapsed="false">
      <c r="E1055" s="8"/>
      <c r="F1055" s="8"/>
      <c r="H1055" s="8"/>
      <c r="K1055" s="8"/>
      <c r="S1055" s="8"/>
      <c r="W1055" s="8"/>
      <c r="X1055" s="8"/>
    </row>
    <row r="1056" customFormat="false" ht="15" hidden="false" customHeight="false" outlineLevel="0" collapsed="false">
      <c r="E1056" s="8"/>
      <c r="F1056" s="8"/>
      <c r="H1056" s="8"/>
      <c r="K1056" s="8"/>
      <c r="S1056" s="8"/>
      <c r="W1056" s="8"/>
      <c r="X1056" s="8"/>
    </row>
    <row r="1057" customFormat="false" ht="15" hidden="false" customHeight="false" outlineLevel="0" collapsed="false">
      <c r="E1057" s="8"/>
      <c r="F1057" s="8"/>
      <c r="H1057" s="8"/>
      <c r="K1057" s="8"/>
      <c r="S1057" s="8"/>
      <c r="W1057" s="8"/>
      <c r="X1057" s="8"/>
    </row>
    <row r="1058" customFormat="false" ht="15" hidden="false" customHeight="false" outlineLevel="0" collapsed="false">
      <c r="E1058" s="8"/>
      <c r="F1058" s="8"/>
      <c r="H1058" s="8"/>
      <c r="K1058" s="8"/>
      <c r="S1058" s="8"/>
      <c r="W1058" s="8"/>
      <c r="X1058" s="8"/>
    </row>
    <row r="1059" customFormat="false" ht="15" hidden="false" customHeight="false" outlineLevel="0" collapsed="false">
      <c r="E1059" s="8"/>
      <c r="F1059" s="8"/>
      <c r="H1059" s="8"/>
      <c r="K1059" s="8"/>
      <c r="S1059" s="8"/>
      <c r="W1059" s="8"/>
      <c r="X1059" s="8"/>
    </row>
    <row r="1060" customFormat="false" ht="15" hidden="false" customHeight="false" outlineLevel="0" collapsed="false">
      <c r="E1060" s="8"/>
      <c r="F1060" s="8"/>
      <c r="H1060" s="8"/>
      <c r="K1060" s="8"/>
      <c r="S1060" s="8"/>
      <c r="W1060" s="8"/>
      <c r="X1060" s="8"/>
    </row>
    <row r="1061" customFormat="false" ht="15" hidden="false" customHeight="false" outlineLevel="0" collapsed="false">
      <c r="E1061" s="8"/>
      <c r="F1061" s="8"/>
      <c r="H1061" s="8"/>
      <c r="K1061" s="8"/>
      <c r="S1061" s="8"/>
      <c r="W1061" s="8"/>
      <c r="X1061" s="8"/>
    </row>
    <row r="1062" customFormat="false" ht="15" hidden="false" customHeight="false" outlineLevel="0" collapsed="false">
      <c r="E1062" s="8"/>
      <c r="F1062" s="8"/>
      <c r="H1062" s="8"/>
      <c r="K1062" s="8"/>
      <c r="S1062" s="8"/>
      <c r="W1062" s="8"/>
      <c r="X1062" s="8"/>
    </row>
    <row r="1063" customFormat="false" ht="15" hidden="false" customHeight="false" outlineLevel="0" collapsed="false">
      <c r="E1063" s="8"/>
      <c r="F1063" s="8"/>
      <c r="H1063" s="8"/>
      <c r="K1063" s="8"/>
      <c r="S1063" s="8"/>
      <c r="W1063" s="8"/>
      <c r="X1063" s="8"/>
    </row>
    <row r="1064" customFormat="false" ht="15" hidden="false" customHeight="false" outlineLevel="0" collapsed="false">
      <c r="E1064" s="8"/>
      <c r="F1064" s="8"/>
      <c r="H1064" s="8"/>
      <c r="K1064" s="8"/>
      <c r="S1064" s="8"/>
      <c r="W1064" s="8"/>
      <c r="X1064" s="8"/>
    </row>
    <row r="1065" customFormat="false" ht="15" hidden="false" customHeight="false" outlineLevel="0" collapsed="false">
      <c r="E1065" s="8"/>
      <c r="F1065" s="8"/>
      <c r="H1065" s="8"/>
      <c r="K1065" s="8"/>
      <c r="S1065" s="8"/>
      <c r="W1065" s="8"/>
      <c r="X1065" s="8"/>
    </row>
    <row r="1066" customFormat="false" ht="15" hidden="false" customHeight="false" outlineLevel="0" collapsed="false">
      <c r="E1066" s="8"/>
      <c r="F1066" s="8"/>
      <c r="H1066" s="8"/>
      <c r="K1066" s="8"/>
      <c r="S1066" s="8"/>
      <c r="W1066" s="8"/>
      <c r="X1066" s="8"/>
    </row>
    <row r="1067" customFormat="false" ht="15" hidden="false" customHeight="false" outlineLevel="0" collapsed="false">
      <c r="E1067" s="8"/>
      <c r="F1067" s="8"/>
      <c r="H1067" s="8"/>
      <c r="K1067" s="8"/>
      <c r="S1067" s="8"/>
      <c r="W1067" s="8"/>
      <c r="X1067" s="8"/>
    </row>
    <row r="1068" customFormat="false" ht="15" hidden="false" customHeight="false" outlineLevel="0" collapsed="false">
      <c r="E1068" s="8"/>
      <c r="F1068" s="8"/>
      <c r="H1068" s="8"/>
      <c r="K1068" s="8"/>
      <c r="S1068" s="8"/>
      <c r="W1068" s="8"/>
      <c r="X1068" s="8"/>
    </row>
    <row r="1069" customFormat="false" ht="15" hidden="false" customHeight="false" outlineLevel="0" collapsed="false">
      <c r="E1069" s="8"/>
      <c r="F1069" s="8"/>
      <c r="H1069" s="8"/>
      <c r="K1069" s="8"/>
      <c r="S1069" s="8"/>
      <c r="W1069" s="8"/>
      <c r="X1069" s="8"/>
    </row>
    <row r="1070" customFormat="false" ht="15" hidden="false" customHeight="false" outlineLevel="0" collapsed="false">
      <c r="E1070" s="8"/>
      <c r="F1070" s="8"/>
      <c r="H1070" s="8"/>
      <c r="K1070" s="8"/>
      <c r="S1070" s="8"/>
      <c r="W1070" s="8"/>
      <c r="X1070" s="8"/>
    </row>
    <row r="1071" customFormat="false" ht="15" hidden="false" customHeight="false" outlineLevel="0" collapsed="false">
      <c r="E1071" s="8"/>
      <c r="F1071" s="8"/>
      <c r="H1071" s="8"/>
      <c r="K1071" s="8"/>
      <c r="S1071" s="8"/>
      <c r="W1071" s="8"/>
      <c r="X1071" s="8"/>
    </row>
    <row r="1072" customFormat="false" ht="15" hidden="false" customHeight="false" outlineLevel="0" collapsed="false">
      <c r="E1072" s="8"/>
      <c r="F1072" s="8"/>
      <c r="H1072" s="8"/>
      <c r="K1072" s="8"/>
      <c r="S1072" s="8"/>
      <c r="W1072" s="8"/>
      <c r="X1072" s="8"/>
    </row>
    <row r="1073" customFormat="false" ht="15" hidden="false" customHeight="false" outlineLevel="0" collapsed="false">
      <c r="E1073" s="8"/>
      <c r="F1073" s="8"/>
      <c r="H1073" s="8"/>
      <c r="K1073" s="8"/>
      <c r="S1073" s="8"/>
      <c r="W1073" s="8"/>
      <c r="X1073" s="8"/>
    </row>
    <row r="1074" customFormat="false" ht="15" hidden="false" customHeight="false" outlineLevel="0" collapsed="false">
      <c r="E1074" s="8"/>
      <c r="F1074" s="8"/>
      <c r="H1074" s="8"/>
      <c r="K1074" s="8"/>
      <c r="S1074" s="8"/>
      <c r="W1074" s="8"/>
      <c r="X1074" s="8"/>
    </row>
    <row r="1075" customFormat="false" ht="15" hidden="false" customHeight="false" outlineLevel="0" collapsed="false">
      <c r="E1075" s="8"/>
      <c r="F1075" s="8"/>
      <c r="H1075" s="8"/>
      <c r="K1075" s="8"/>
      <c r="S1075" s="8"/>
      <c r="W1075" s="8"/>
      <c r="X1075" s="8"/>
    </row>
    <row r="1076" customFormat="false" ht="15" hidden="false" customHeight="false" outlineLevel="0" collapsed="false">
      <c r="E1076" s="8"/>
      <c r="F1076" s="8"/>
      <c r="H1076" s="8"/>
      <c r="K1076" s="8"/>
      <c r="S1076" s="8"/>
      <c r="W1076" s="8"/>
      <c r="X1076" s="8"/>
    </row>
    <row r="1077" customFormat="false" ht="15" hidden="false" customHeight="false" outlineLevel="0" collapsed="false">
      <c r="E1077" s="8"/>
      <c r="F1077" s="8"/>
      <c r="H1077" s="8"/>
      <c r="K1077" s="8"/>
      <c r="S1077" s="8"/>
      <c r="W1077" s="8"/>
      <c r="X1077" s="8"/>
    </row>
    <row r="1078" customFormat="false" ht="15" hidden="false" customHeight="false" outlineLevel="0" collapsed="false">
      <c r="E1078" s="8"/>
      <c r="F1078" s="8"/>
      <c r="H1078" s="8"/>
      <c r="K1078" s="8"/>
      <c r="S1078" s="8"/>
      <c r="W1078" s="8"/>
      <c r="X1078" s="8"/>
    </row>
    <row r="1079" customFormat="false" ht="15" hidden="false" customHeight="false" outlineLevel="0" collapsed="false">
      <c r="E1079" s="8"/>
      <c r="F1079" s="8"/>
      <c r="H1079" s="8"/>
      <c r="K1079" s="8"/>
      <c r="S1079" s="8"/>
      <c r="W1079" s="8"/>
      <c r="X1079" s="8"/>
    </row>
    <row r="1080" customFormat="false" ht="15" hidden="false" customHeight="false" outlineLevel="0" collapsed="false">
      <c r="E1080" s="8"/>
      <c r="F1080" s="8"/>
      <c r="H1080" s="8"/>
      <c r="K1080" s="8"/>
      <c r="S1080" s="8"/>
      <c r="W1080" s="8"/>
      <c r="X1080" s="8"/>
    </row>
    <row r="1081" customFormat="false" ht="15" hidden="false" customHeight="false" outlineLevel="0" collapsed="false">
      <c r="E1081" s="8"/>
      <c r="F1081" s="8"/>
      <c r="H1081" s="8"/>
      <c r="K1081" s="8"/>
      <c r="S1081" s="8"/>
      <c r="W1081" s="8"/>
      <c r="X1081" s="8"/>
    </row>
    <row r="1082" customFormat="false" ht="15" hidden="false" customHeight="false" outlineLevel="0" collapsed="false">
      <c r="E1082" s="8"/>
      <c r="F1082" s="8"/>
      <c r="H1082" s="8"/>
      <c r="K1082" s="8"/>
      <c r="S1082" s="8"/>
      <c r="W1082" s="8"/>
      <c r="X1082" s="8"/>
    </row>
    <row r="1083" customFormat="false" ht="15" hidden="false" customHeight="false" outlineLevel="0" collapsed="false">
      <c r="E1083" s="8"/>
      <c r="F1083" s="8"/>
      <c r="H1083" s="8"/>
      <c r="K1083" s="8"/>
      <c r="S1083" s="8"/>
      <c r="W1083" s="8"/>
      <c r="X1083" s="8"/>
    </row>
    <row r="1084" customFormat="false" ht="15" hidden="false" customHeight="false" outlineLevel="0" collapsed="false">
      <c r="E1084" s="8"/>
      <c r="F1084" s="8"/>
      <c r="H1084" s="8"/>
      <c r="K1084" s="8"/>
      <c r="S1084" s="8"/>
      <c r="W1084" s="8"/>
      <c r="X1084" s="8"/>
    </row>
    <row r="1085" customFormat="false" ht="15" hidden="false" customHeight="false" outlineLevel="0" collapsed="false">
      <c r="E1085" s="8"/>
      <c r="F1085" s="8"/>
      <c r="H1085" s="8"/>
      <c r="K1085" s="8"/>
      <c r="S1085" s="8"/>
      <c r="W1085" s="8"/>
      <c r="X1085" s="8"/>
    </row>
    <row r="1086" customFormat="false" ht="15" hidden="false" customHeight="false" outlineLevel="0" collapsed="false">
      <c r="E1086" s="8"/>
      <c r="F1086" s="8"/>
      <c r="H1086" s="8"/>
      <c r="K1086" s="8"/>
      <c r="S1086" s="8"/>
      <c r="W1086" s="8"/>
      <c r="X1086" s="8"/>
    </row>
    <row r="1087" customFormat="false" ht="15" hidden="false" customHeight="false" outlineLevel="0" collapsed="false">
      <c r="E1087" s="8"/>
      <c r="F1087" s="8"/>
      <c r="H1087" s="8"/>
      <c r="K1087" s="8"/>
      <c r="S1087" s="8"/>
      <c r="W1087" s="8"/>
      <c r="X1087" s="8"/>
    </row>
    <row r="1088" customFormat="false" ht="15" hidden="false" customHeight="false" outlineLevel="0" collapsed="false">
      <c r="E1088" s="8"/>
      <c r="F1088" s="8"/>
      <c r="H1088" s="8"/>
      <c r="K1088" s="8"/>
      <c r="S1088" s="8"/>
      <c r="W1088" s="8"/>
      <c r="X1088" s="8"/>
    </row>
    <row r="1089" customFormat="false" ht="15" hidden="false" customHeight="false" outlineLevel="0" collapsed="false">
      <c r="E1089" s="8"/>
      <c r="F1089" s="8"/>
      <c r="H1089" s="8"/>
      <c r="K1089" s="8"/>
      <c r="S1089" s="8"/>
      <c r="W1089" s="8"/>
      <c r="X1089" s="8"/>
    </row>
    <row r="1090" customFormat="false" ht="15" hidden="false" customHeight="false" outlineLevel="0" collapsed="false">
      <c r="E1090" s="8"/>
      <c r="F1090" s="8"/>
      <c r="H1090" s="8"/>
      <c r="K1090" s="8"/>
      <c r="S1090" s="8"/>
      <c r="W1090" s="8"/>
      <c r="X1090" s="8"/>
    </row>
    <row r="1091" customFormat="false" ht="15" hidden="false" customHeight="false" outlineLevel="0" collapsed="false">
      <c r="E1091" s="8"/>
      <c r="F1091" s="8"/>
      <c r="H1091" s="8"/>
      <c r="K1091" s="8"/>
      <c r="S1091" s="8"/>
      <c r="W1091" s="8"/>
      <c r="X1091" s="8"/>
    </row>
    <row r="1092" customFormat="false" ht="15" hidden="false" customHeight="false" outlineLevel="0" collapsed="false">
      <c r="E1092" s="8"/>
      <c r="F1092" s="8"/>
      <c r="H1092" s="8"/>
      <c r="K1092" s="8"/>
      <c r="S1092" s="8"/>
      <c r="W1092" s="8"/>
      <c r="X1092" s="8"/>
    </row>
    <row r="1093" customFormat="false" ht="15" hidden="false" customHeight="false" outlineLevel="0" collapsed="false">
      <c r="E1093" s="8"/>
      <c r="F1093" s="8"/>
      <c r="H1093" s="8"/>
      <c r="K1093" s="8"/>
      <c r="S1093" s="8"/>
      <c r="W1093" s="8"/>
      <c r="X1093" s="8"/>
    </row>
    <row r="1094" customFormat="false" ht="15" hidden="false" customHeight="false" outlineLevel="0" collapsed="false">
      <c r="E1094" s="8"/>
      <c r="F1094" s="8"/>
      <c r="H1094" s="8"/>
      <c r="K1094" s="8"/>
      <c r="S1094" s="8"/>
      <c r="W1094" s="8"/>
      <c r="X1094" s="8"/>
    </row>
    <row r="1095" customFormat="false" ht="15" hidden="false" customHeight="false" outlineLevel="0" collapsed="false">
      <c r="E1095" s="8"/>
      <c r="F1095" s="8"/>
      <c r="H1095" s="8"/>
      <c r="K1095" s="8"/>
      <c r="S1095" s="8"/>
      <c r="W1095" s="8"/>
      <c r="X1095" s="8"/>
    </row>
    <row r="1096" customFormat="false" ht="15" hidden="false" customHeight="false" outlineLevel="0" collapsed="false">
      <c r="E1096" s="8"/>
      <c r="F1096" s="8"/>
      <c r="H1096" s="8"/>
      <c r="K1096" s="8"/>
      <c r="S1096" s="8"/>
      <c r="W1096" s="8"/>
      <c r="X1096" s="8"/>
    </row>
    <row r="1097" customFormat="false" ht="15" hidden="false" customHeight="false" outlineLevel="0" collapsed="false">
      <c r="E1097" s="8"/>
      <c r="F1097" s="8"/>
      <c r="H1097" s="8"/>
      <c r="K1097" s="8"/>
      <c r="S1097" s="8"/>
      <c r="W1097" s="8"/>
      <c r="X1097" s="8"/>
    </row>
    <row r="1098" customFormat="false" ht="15" hidden="false" customHeight="false" outlineLevel="0" collapsed="false">
      <c r="E1098" s="8"/>
      <c r="F1098" s="8"/>
      <c r="H1098" s="8"/>
      <c r="K1098" s="8"/>
      <c r="S1098" s="8"/>
      <c r="W1098" s="8"/>
      <c r="X1098" s="8"/>
    </row>
    <row r="1099" customFormat="false" ht="15" hidden="false" customHeight="false" outlineLevel="0" collapsed="false">
      <c r="E1099" s="8"/>
      <c r="F1099" s="8"/>
      <c r="H1099" s="8"/>
      <c r="K1099" s="8"/>
      <c r="S1099" s="8"/>
      <c r="W1099" s="8"/>
      <c r="X1099" s="8"/>
    </row>
    <row r="1100" customFormat="false" ht="15" hidden="false" customHeight="false" outlineLevel="0" collapsed="false">
      <c r="E1100" s="8"/>
      <c r="F1100" s="8"/>
      <c r="H1100" s="8"/>
      <c r="K1100" s="8"/>
      <c r="S1100" s="8"/>
      <c r="W1100" s="8"/>
      <c r="X1100" s="8"/>
    </row>
    <row r="1101" customFormat="false" ht="15" hidden="false" customHeight="false" outlineLevel="0" collapsed="false">
      <c r="E1101" s="8"/>
      <c r="F1101" s="8"/>
      <c r="H1101" s="8"/>
      <c r="K1101" s="8"/>
      <c r="S1101" s="8"/>
      <c r="W1101" s="8"/>
      <c r="X1101" s="8"/>
    </row>
    <row r="1102" customFormat="false" ht="15" hidden="false" customHeight="false" outlineLevel="0" collapsed="false">
      <c r="E1102" s="8"/>
      <c r="F1102" s="8"/>
      <c r="H1102" s="8"/>
      <c r="K1102" s="8"/>
      <c r="S1102" s="8"/>
      <c r="W1102" s="8"/>
      <c r="X1102" s="8"/>
    </row>
    <row r="1103" customFormat="false" ht="15" hidden="false" customHeight="false" outlineLevel="0" collapsed="false">
      <c r="E1103" s="8"/>
      <c r="F1103" s="8"/>
      <c r="H1103" s="8"/>
      <c r="K1103" s="8"/>
      <c r="S1103" s="8"/>
      <c r="W1103" s="8"/>
      <c r="X1103" s="8"/>
    </row>
    <row r="1104" customFormat="false" ht="15" hidden="false" customHeight="false" outlineLevel="0" collapsed="false">
      <c r="E1104" s="8"/>
      <c r="F1104" s="8"/>
      <c r="H1104" s="8"/>
      <c r="K1104" s="8"/>
      <c r="S1104" s="8"/>
      <c r="W1104" s="8"/>
      <c r="X1104" s="8"/>
    </row>
    <row r="1105" customFormat="false" ht="15" hidden="false" customHeight="false" outlineLevel="0" collapsed="false">
      <c r="E1105" s="8"/>
      <c r="F1105" s="8"/>
      <c r="H1105" s="8"/>
      <c r="K1105" s="8"/>
      <c r="S1105" s="8"/>
      <c r="W1105" s="8"/>
      <c r="X1105" s="8"/>
    </row>
    <row r="1106" customFormat="false" ht="15" hidden="false" customHeight="false" outlineLevel="0" collapsed="false">
      <c r="E1106" s="8"/>
      <c r="F1106" s="8"/>
      <c r="H1106" s="8"/>
      <c r="K1106" s="8"/>
      <c r="S1106" s="8"/>
      <c r="W1106" s="8"/>
      <c r="X1106" s="8"/>
    </row>
    <row r="1107" customFormat="false" ht="15" hidden="false" customHeight="false" outlineLevel="0" collapsed="false">
      <c r="E1107" s="8"/>
      <c r="F1107" s="8"/>
      <c r="H1107" s="8"/>
      <c r="K1107" s="8"/>
      <c r="S1107" s="8"/>
      <c r="W1107" s="8"/>
      <c r="X1107" s="8"/>
    </row>
    <row r="1108" customFormat="false" ht="15" hidden="false" customHeight="false" outlineLevel="0" collapsed="false">
      <c r="E1108" s="8"/>
      <c r="F1108" s="8"/>
      <c r="H1108" s="8"/>
      <c r="K1108" s="8"/>
      <c r="S1108" s="8"/>
      <c r="W1108" s="8"/>
      <c r="X1108" s="8"/>
    </row>
    <row r="1109" customFormat="false" ht="15" hidden="false" customHeight="false" outlineLevel="0" collapsed="false">
      <c r="E1109" s="8"/>
      <c r="F1109" s="8"/>
      <c r="H1109" s="8"/>
      <c r="K1109" s="8"/>
      <c r="S1109" s="8"/>
      <c r="W1109" s="8"/>
      <c r="X1109" s="8"/>
    </row>
    <row r="1110" customFormat="false" ht="15" hidden="false" customHeight="false" outlineLevel="0" collapsed="false">
      <c r="E1110" s="8"/>
      <c r="F1110" s="8"/>
      <c r="H1110" s="8"/>
      <c r="K1110" s="8"/>
      <c r="S1110" s="8"/>
      <c r="W1110" s="8"/>
      <c r="X1110" s="8"/>
    </row>
    <row r="1111" customFormat="false" ht="15" hidden="false" customHeight="false" outlineLevel="0" collapsed="false">
      <c r="E1111" s="8"/>
      <c r="F1111" s="8"/>
      <c r="H1111" s="8"/>
      <c r="K1111" s="8"/>
      <c r="S1111" s="8"/>
      <c r="W1111" s="8"/>
      <c r="X1111" s="8"/>
    </row>
    <row r="1112" customFormat="false" ht="15" hidden="false" customHeight="false" outlineLevel="0" collapsed="false">
      <c r="E1112" s="8"/>
      <c r="F1112" s="8"/>
      <c r="H1112" s="8"/>
      <c r="K1112" s="8"/>
      <c r="S1112" s="8"/>
      <c r="W1112" s="8"/>
      <c r="X1112" s="8"/>
    </row>
    <row r="1113" customFormat="false" ht="15" hidden="false" customHeight="false" outlineLevel="0" collapsed="false">
      <c r="E1113" s="8"/>
      <c r="F1113" s="8"/>
      <c r="H1113" s="8"/>
      <c r="K1113" s="8"/>
      <c r="S1113" s="8"/>
      <c r="W1113" s="8"/>
      <c r="X1113" s="8"/>
    </row>
    <row r="1114" customFormat="false" ht="15" hidden="false" customHeight="false" outlineLevel="0" collapsed="false">
      <c r="E1114" s="8"/>
      <c r="F1114" s="8"/>
      <c r="H1114" s="8"/>
      <c r="K1114" s="8"/>
      <c r="S1114" s="8"/>
      <c r="W1114" s="8"/>
      <c r="X1114" s="8"/>
    </row>
    <row r="1115" customFormat="false" ht="15" hidden="false" customHeight="false" outlineLevel="0" collapsed="false">
      <c r="E1115" s="8"/>
      <c r="F1115" s="8"/>
      <c r="H1115" s="8"/>
      <c r="K1115" s="8"/>
      <c r="S1115" s="8"/>
      <c r="W1115" s="8"/>
      <c r="X1115" s="8"/>
    </row>
    <row r="1116" customFormat="false" ht="15" hidden="false" customHeight="false" outlineLevel="0" collapsed="false">
      <c r="E1116" s="8"/>
      <c r="F1116" s="8"/>
      <c r="H1116" s="8"/>
      <c r="K1116" s="8"/>
      <c r="S1116" s="8"/>
      <c r="W1116" s="8"/>
      <c r="X1116" s="8"/>
    </row>
    <row r="1117" customFormat="false" ht="15" hidden="false" customHeight="false" outlineLevel="0" collapsed="false">
      <c r="E1117" s="8"/>
      <c r="F1117" s="8"/>
      <c r="H1117" s="8"/>
      <c r="K1117" s="8"/>
      <c r="S1117" s="8"/>
      <c r="W1117" s="8"/>
      <c r="X1117" s="8"/>
    </row>
    <row r="1118" customFormat="false" ht="15" hidden="false" customHeight="false" outlineLevel="0" collapsed="false">
      <c r="E1118" s="8"/>
      <c r="F1118" s="8"/>
      <c r="H1118" s="8"/>
      <c r="K1118" s="8"/>
      <c r="S1118" s="8"/>
      <c r="W1118" s="8"/>
      <c r="X1118" s="8"/>
    </row>
    <row r="1119" customFormat="false" ht="15" hidden="false" customHeight="false" outlineLevel="0" collapsed="false">
      <c r="E1119" s="8"/>
      <c r="F1119" s="8"/>
      <c r="H1119" s="8"/>
      <c r="K1119" s="8"/>
      <c r="S1119" s="8"/>
      <c r="W1119" s="8"/>
      <c r="X1119" s="8"/>
    </row>
    <row r="1120" customFormat="false" ht="15" hidden="false" customHeight="false" outlineLevel="0" collapsed="false">
      <c r="E1120" s="8"/>
      <c r="F1120" s="8"/>
      <c r="H1120" s="8"/>
      <c r="K1120" s="8"/>
      <c r="S1120" s="8"/>
      <c r="W1120" s="8"/>
      <c r="X1120" s="8"/>
    </row>
    <row r="1121" customFormat="false" ht="15" hidden="false" customHeight="false" outlineLevel="0" collapsed="false">
      <c r="E1121" s="8"/>
      <c r="F1121" s="8"/>
      <c r="H1121" s="8"/>
      <c r="K1121" s="8"/>
      <c r="S1121" s="8"/>
      <c r="W1121" s="8"/>
      <c r="X1121" s="8"/>
    </row>
    <row r="1122" customFormat="false" ht="15" hidden="false" customHeight="false" outlineLevel="0" collapsed="false">
      <c r="E1122" s="8"/>
      <c r="F1122" s="8"/>
      <c r="H1122" s="8"/>
      <c r="K1122" s="8"/>
      <c r="S1122" s="8"/>
      <c r="W1122" s="8"/>
      <c r="X1122" s="8"/>
    </row>
    <row r="1123" customFormat="false" ht="15" hidden="false" customHeight="false" outlineLevel="0" collapsed="false">
      <c r="E1123" s="8"/>
      <c r="F1123" s="8"/>
      <c r="H1123" s="8"/>
      <c r="K1123" s="8"/>
      <c r="S1123" s="8"/>
      <c r="W1123" s="8"/>
      <c r="X1123" s="8"/>
    </row>
    <row r="1124" customFormat="false" ht="15" hidden="false" customHeight="false" outlineLevel="0" collapsed="false">
      <c r="E1124" s="8"/>
      <c r="F1124" s="8"/>
      <c r="H1124" s="8"/>
      <c r="K1124" s="8"/>
      <c r="S1124" s="8"/>
      <c r="W1124" s="8"/>
      <c r="X1124" s="8"/>
    </row>
    <row r="1125" customFormat="false" ht="15" hidden="false" customHeight="false" outlineLevel="0" collapsed="false">
      <c r="E1125" s="8"/>
      <c r="F1125" s="8"/>
      <c r="H1125" s="8"/>
      <c r="K1125" s="8"/>
      <c r="S1125" s="8"/>
      <c r="W1125" s="8"/>
      <c r="X1125" s="8"/>
    </row>
    <row r="1126" customFormat="false" ht="15" hidden="false" customHeight="false" outlineLevel="0" collapsed="false">
      <c r="E1126" s="8"/>
      <c r="F1126" s="8"/>
      <c r="H1126" s="8"/>
      <c r="K1126" s="8"/>
      <c r="S1126" s="8"/>
      <c r="W1126" s="8"/>
      <c r="X1126" s="8"/>
    </row>
    <row r="1127" customFormat="false" ht="15" hidden="false" customHeight="false" outlineLevel="0" collapsed="false">
      <c r="E1127" s="8"/>
      <c r="F1127" s="8"/>
      <c r="H1127" s="8"/>
      <c r="K1127" s="8"/>
      <c r="S1127" s="8"/>
      <c r="W1127" s="8"/>
      <c r="X1127" s="8"/>
    </row>
    <row r="1128" customFormat="false" ht="15" hidden="false" customHeight="false" outlineLevel="0" collapsed="false">
      <c r="E1128" s="8"/>
      <c r="F1128" s="8"/>
      <c r="H1128" s="8"/>
      <c r="K1128" s="8"/>
      <c r="S1128" s="8"/>
      <c r="W1128" s="8"/>
      <c r="X1128" s="8"/>
    </row>
    <row r="1129" customFormat="false" ht="15" hidden="false" customHeight="false" outlineLevel="0" collapsed="false">
      <c r="E1129" s="8"/>
      <c r="F1129" s="8"/>
      <c r="H1129" s="8"/>
      <c r="K1129" s="8"/>
      <c r="S1129" s="8"/>
      <c r="W1129" s="8"/>
      <c r="X1129" s="8"/>
    </row>
  </sheetData>
  <autoFilter ref="A1:Z129"/>
  <dataValidations count="7">
    <dataValidation allowBlank="true" errorStyle="stop" operator="between" showDropDown="false" showErrorMessage="false" showInputMessage="false" sqref="E2:E1129" type="list">
      <formula1>"Internship,Traineeship,Fellowship,Travel grant,PhD visit,Visiting researcher"</formula1>
      <formula2>0</formula2>
    </dataValidation>
    <dataValidation allowBlank="true" errorStyle="stop" operator="between" showDropDown="false" showErrorMessage="false" showInputMessage="false" sqref="F2:F1129" type="list">
      <formula1>"STEM,Social sciences,Any"</formula1>
      <formula2>0</formula2>
    </dataValidation>
    <dataValidation allowBlank="true" errorStyle="stop" operator="between" showDropDown="false" showErrorMessage="false" showInputMessage="false" sqref="H2:H1129" type="list">
      <formula1>"Salary,Stipend or allowance,Fellowship,Grant"</formula1>
      <formula2>0</formula2>
    </dataValidation>
    <dataValidation allowBlank="true" errorStyle="stop" operator="between" showDropDown="false" showErrorMessage="false" showInputMessage="false" sqref="K2:K1129" type="list">
      <formula1>"Per month,Per day,Per week,Lump sum,Total for the stay"</formula1>
      <formula2>0</formula2>
    </dataValidation>
    <dataValidation allowBlank="true" errorStyle="stop" operator="between" showDropDown="false" showErrorMessage="false" showInputMessage="false" sqref="S2:S1129" type="list">
      <formula1>"Fixed (annual or rounds),Rolling,Ad hoc vacancies"</formula1>
      <formula2>0</formula2>
    </dataValidation>
    <dataValidation allowBlank="true" errorStyle="stop" operator="between" showDropDown="false" showErrorMessage="false" showInputMessage="false" sqref="W2:W1129" type="list">
      <formula1>"Yes,No"</formula1>
      <formula2>0</formula2>
    </dataValidation>
    <dataValidation allowBlank="true" errorStyle="stop" operator="between" showDropDown="false" showErrorMessage="false" showInputMessage="false" sqref="X2:X1129" type="list">
      <formula1>"Verified,Unverified,Excluded"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1" width="18"/>
    <col collapsed="false" customWidth="true" hidden="false" outlineLevel="0" max="5" min="5" style="1" width="70"/>
    <col collapsed="false" customWidth="true" hidden="false" outlineLevel="0" max="6" min="6" style="1" width="50"/>
  </cols>
  <sheetData>
    <row r="1" customFormat="false" ht="15" hidden="false" customHeight="true" outlineLevel="0" collapsed="false">
      <c r="A1" s="5" t="s">
        <v>16</v>
      </c>
      <c r="B1" s="5" t="s">
        <v>15</v>
      </c>
      <c r="C1" s="5" t="s">
        <v>1917</v>
      </c>
      <c r="D1" s="5" t="s">
        <v>1918</v>
      </c>
      <c r="E1" s="5" t="s">
        <v>1919</v>
      </c>
      <c r="F1" s="5" t="s">
        <v>1920</v>
      </c>
    </row>
    <row r="2" customFormat="false" ht="15" hidden="false" customHeight="true" outlineLevel="0" collapsed="false">
      <c r="A2" s="6" t="s">
        <v>845</v>
      </c>
      <c r="B2" s="6" t="s">
        <v>396</v>
      </c>
      <c r="C2" s="6" t="n">
        <v>46.948</v>
      </c>
      <c r="D2" s="6" t="n">
        <v>7.4474</v>
      </c>
      <c r="E2" s="7" t="s">
        <v>1921</v>
      </c>
      <c r="F2" s="6"/>
    </row>
    <row r="3" customFormat="false" ht="15" hidden="false" customHeight="true" outlineLevel="0" collapsed="false">
      <c r="A3" s="6" t="s">
        <v>599</v>
      </c>
      <c r="B3" s="6" t="s">
        <v>513</v>
      </c>
      <c r="C3" s="6" t="n">
        <v>50.7374</v>
      </c>
      <c r="D3" s="6" t="n">
        <v>7.0982</v>
      </c>
      <c r="E3" s="7" t="s">
        <v>1921</v>
      </c>
      <c r="F3" s="6"/>
    </row>
    <row r="4" customFormat="false" ht="15" hidden="false" customHeight="true" outlineLevel="0" collapsed="false">
      <c r="A4" s="6" t="s">
        <v>898</v>
      </c>
      <c r="B4" s="6" t="s">
        <v>386</v>
      </c>
      <c r="C4" s="6" t="n">
        <v>50.8503</v>
      </c>
      <c r="D4" s="6" t="n">
        <v>4.3517</v>
      </c>
      <c r="E4" s="7" t="s">
        <v>1921</v>
      </c>
      <c r="F4" s="6"/>
    </row>
    <row r="5" customFormat="false" ht="15" hidden="false" customHeight="true" outlineLevel="0" collapsed="false">
      <c r="A5" s="6" t="s">
        <v>613</v>
      </c>
      <c r="B5" s="6" t="s">
        <v>612</v>
      </c>
      <c r="C5" s="6" t="n">
        <v>55.6761</v>
      </c>
      <c r="D5" s="6" t="n">
        <v>12.5683</v>
      </c>
      <c r="E5" s="7" t="s">
        <v>1921</v>
      </c>
      <c r="F5" s="6"/>
    </row>
    <row r="6" customFormat="false" ht="15" hidden="false" customHeight="true" outlineLevel="0" collapsed="false">
      <c r="A6" s="6" t="s">
        <v>1759</v>
      </c>
      <c r="B6" s="6" t="s">
        <v>513</v>
      </c>
      <c r="C6" s="6" t="n">
        <v>48.2489</v>
      </c>
      <c r="D6" s="6" t="n">
        <v>11.6532</v>
      </c>
      <c r="E6" s="7" t="s">
        <v>1921</v>
      </c>
      <c r="F6" s="6"/>
    </row>
    <row r="7" customFormat="false" ht="34.5" hidden="false" customHeight="true" outlineLevel="0" collapsed="false">
      <c r="A7" s="6" t="s">
        <v>397</v>
      </c>
      <c r="B7" s="6" t="s">
        <v>396</v>
      </c>
      <c r="C7" s="6" t="n">
        <v>46.2044</v>
      </c>
      <c r="D7" s="6" t="n">
        <v>6.1432</v>
      </c>
      <c r="E7" s="7" t="s">
        <v>1922</v>
      </c>
      <c r="F7" s="6" t="s">
        <v>170</v>
      </c>
    </row>
    <row r="8" customFormat="false" ht="15" hidden="false" customHeight="true" outlineLevel="0" collapsed="false">
      <c r="A8" s="6" t="s">
        <v>579</v>
      </c>
      <c r="B8" s="6" t="s">
        <v>396</v>
      </c>
      <c r="C8" s="6" t="n">
        <v>46.4206</v>
      </c>
      <c r="D8" s="6" t="n">
        <v>6.27</v>
      </c>
      <c r="E8" s="7" t="s">
        <v>1921</v>
      </c>
      <c r="F8" s="6"/>
    </row>
    <row r="9" customFormat="false" ht="15" hidden="false" customHeight="true" outlineLevel="0" collapsed="false">
      <c r="A9" s="6" t="s">
        <v>768</v>
      </c>
      <c r="B9" s="6" t="s">
        <v>424</v>
      </c>
      <c r="C9" s="6" t="n">
        <v>45.1885</v>
      </c>
      <c r="D9" s="6" t="n">
        <v>5.7245</v>
      </c>
      <c r="E9" s="7" t="s">
        <v>1921</v>
      </c>
      <c r="F9" s="6"/>
    </row>
    <row r="10" customFormat="false" ht="15" hidden="false" customHeight="true" outlineLevel="0" collapsed="false">
      <c r="A10" s="6" t="s">
        <v>520</v>
      </c>
      <c r="B10" s="6" t="s">
        <v>513</v>
      </c>
      <c r="C10" s="6" t="n">
        <v>49.3988</v>
      </c>
      <c r="D10" s="6" t="n">
        <v>8.6724</v>
      </c>
      <c r="E10" s="7" t="s">
        <v>1921</v>
      </c>
      <c r="F10" s="6"/>
    </row>
    <row r="11" customFormat="false" ht="15" hidden="false" customHeight="true" outlineLevel="0" collapsed="false">
      <c r="A11" s="6" t="s">
        <v>683</v>
      </c>
      <c r="B11" s="6" t="s">
        <v>682</v>
      </c>
      <c r="C11" s="6" t="n">
        <v>60.1699</v>
      </c>
      <c r="D11" s="6" t="n">
        <v>24.9384</v>
      </c>
      <c r="E11" s="7" t="s">
        <v>1921</v>
      </c>
      <c r="F11" s="6"/>
    </row>
    <row r="12" customFormat="false" ht="15" hidden="false" customHeight="true" outlineLevel="0" collapsed="false">
      <c r="A12" s="6" t="s">
        <v>82</v>
      </c>
      <c r="B12" s="6" t="s">
        <v>32</v>
      </c>
      <c r="C12" s="6" t="n">
        <v>52.083</v>
      </c>
      <c r="D12" s="6" t="n">
        <v>0.183</v>
      </c>
      <c r="E12" s="7" t="s">
        <v>1921</v>
      </c>
      <c r="F12" s="6"/>
    </row>
    <row r="13" customFormat="false" ht="15" hidden="false" customHeight="true" outlineLevel="0" collapsed="false">
      <c r="A13" s="6" t="s">
        <v>528</v>
      </c>
      <c r="B13" s="6" t="s">
        <v>432</v>
      </c>
      <c r="C13" s="6" t="n">
        <v>48.0686</v>
      </c>
      <c r="D13" s="6" t="n">
        <v>16.3542</v>
      </c>
      <c r="E13" s="7" t="s">
        <v>1921</v>
      </c>
      <c r="F13" s="6"/>
    </row>
    <row r="14" customFormat="false" ht="15" hidden="false" customHeight="true" outlineLevel="0" collapsed="false">
      <c r="A14" s="6" t="s">
        <v>425</v>
      </c>
      <c r="B14" s="6" t="s">
        <v>424</v>
      </c>
      <c r="C14" s="6" t="n">
        <v>48.8566</v>
      </c>
      <c r="D14" s="6" t="n">
        <v>2.3522</v>
      </c>
      <c r="E14" s="7" t="s">
        <v>1921</v>
      </c>
      <c r="F14" s="6"/>
    </row>
    <row r="15" customFormat="false" ht="15" hidden="false" customHeight="true" outlineLevel="0" collapsed="false">
      <c r="A15" s="6" t="s">
        <v>468</v>
      </c>
      <c r="B15" s="6" t="s">
        <v>467</v>
      </c>
      <c r="C15" s="6" t="n">
        <v>41.9028</v>
      </c>
      <c r="D15" s="6" t="n">
        <v>12.4964</v>
      </c>
      <c r="E15" s="7" t="s">
        <v>1921</v>
      </c>
      <c r="F15" s="6"/>
    </row>
    <row r="16" customFormat="false" ht="15" hidden="false" customHeight="true" outlineLevel="0" collapsed="false">
      <c r="A16" s="6" t="s">
        <v>545</v>
      </c>
      <c r="B16" s="6" t="s">
        <v>544</v>
      </c>
      <c r="C16" s="6" t="n">
        <v>52.0705</v>
      </c>
      <c r="D16" s="6" t="n">
        <v>4.3007</v>
      </c>
      <c r="E16" s="7" t="s">
        <v>1921</v>
      </c>
      <c r="F16" s="6"/>
    </row>
    <row r="17" customFormat="false" ht="15" hidden="false" customHeight="true" outlineLevel="0" collapsed="false">
      <c r="A17" s="6" t="s">
        <v>536</v>
      </c>
      <c r="B17" s="6" t="s">
        <v>467</v>
      </c>
      <c r="C17" s="6" t="n">
        <v>45.6495</v>
      </c>
      <c r="D17" s="6" t="n">
        <v>13.7768</v>
      </c>
      <c r="E17" s="7" t="s">
        <v>1921</v>
      </c>
      <c r="F17" s="6"/>
    </row>
    <row r="18" customFormat="false" ht="15" hidden="false" customHeight="true" outlineLevel="0" collapsed="false">
      <c r="A18" s="6" t="s">
        <v>655</v>
      </c>
      <c r="B18" s="6" t="s">
        <v>467</v>
      </c>
      <c r="C18" s="6" t="n">
        <v>45.0703</v>
      </c>
      <c r="D18" s="6" t="n">
        <v>7.6869</v>
      </c>
      <c r="E18" s="7" t="s">
        <v>1921</v>
      </c>
      <c r="F18" s="6"/>
    </row>
    <row r="19" customFormat="false" ht="15" hidden="false" customHeight="true" outlineLevel="0" collapsed="false">
      <c r="A19" s="6" t="s">
        <v>433</v>
      </c>
      <c r="B19" s="6" t="s">
        <v>432</v>
      </c>
      <c r="C19" s="6" t="n">
        <v>48.2082</v>
      </c>
      <c r="D19" s="6" t="n">
        <v>16.3738</v>
      </c>
      <c r="E19" s="7" t="s">
        <v>1921</v>
      </c>
      <c r="F19" s="6"/>
    </row>
  </sheetData>
  <autoFilter ref="A1:F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5" hidden="false" customHeight="true" outlineLevel="0" collapsed="false">
      <c r="A1" s="9" t="s">
        <v>1923</v>
      </c>
    </row>
    <row r="2" customFormat="false" ht="15" hidden="false" customHeight="true" outlineLevel="0" collapsed="false">
      <c r="A2" s="3" t="s">
        <v>1924</v>
      </c>
    </row>
    <row r="3" customFormat="false" ht="23.25" hidden="false" customHeight="true" outlineLevel="0" collapsed="false">
      <c r="A3" s="3" t="s">
        <v>1925</v>
      </c>
    </row>
    <row r="4" customFormat="false" ht="15" hidden="false" customHeight="true" outlineLevel="0" collapsed="false">
      <c r="A4" s="3" t="s">
        <v>1926</v>
      </c>
    </row>
    <row r="5" customFormat="false" ht="34.5" hidden="false" customHeight="true" outlineLevel="0" collapsed="false">
      <c r="A5" s="3" t="s">
        <v>1927</v>
      </c>
    </row>
    <row r="6" customFormat="false" ht="34.5" hidden="false" customHeight="true" outlineLevel="0" collapsed="false">
      <c r="A6" s="3" t="s">
        <v>1928</v>
      </c>
    </row>
    <row r="7" customFormat="false" ht="23.25" hidden="false" customHeight="true" outlineLevel="0" collapsed="false">
      <c r="A7" s="3" t="s">
        <v>1929</v>
      </c>
    </row>
    <row r="8" customFormat="false" ht="23.25" hidden="false" customHeight="true" outlineLevel="0" collapsed="false">
      <c r="A8" s="3" t="s">
        <v>1930</v>
      </c>
    </row>
    <row r="9" customFormat="false" ht="23.25" hidden="false" customHeight="true" outlineLevel="0" collapsed="false">
      <c r="A9" s="3" t="s">
        <v>1931</v>
      </c>
    </row>
    <row r="10" customFormat="false" ht="23.25" hidden="false" customHeight="true" outlineLevel="0" collapsed="false">
      <c r="A10" s="3" t="s">
        <v>1932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50"/>
    <col collapsed="false" customWidth="true" hidden="false" outlineLevel="0" max="4" min="3" style="1" width="18"/>
    <col collapsed="false" customWidth="true" hidden="false" outlineLevel="0" max="5" min="5" style="1" width="40"/>
  </cols>
  <sheetData>
    <row r="1" customFormat="false" ht="15" hidden="false" customHeight="true" outlineLevel="0" collapsed="false">
      <c r="A1" s="5" t="s">
        <v>15</v>
      </c>
      <c r="B1" s="5" t="s">
        <v>1933</v>
      </c>
      <c r="C1" s="5" t="s">
        <v>1934</v>
      </c>
      <c r="D1" s="5" t="s">
        <v>1935</v>
      </c>
      <c r="E1" s="5" t="s">
        <v>28</v>
      </c>
    </row>
    <row r="2" customFormat="false" ht="15" hidden="false" customHeight="true" outlineLevel="0" collapsed="false">
      <c r="A2" s="6" t="s">
        <v>432</v>
      </c>
      <c r="B2" s="6"/>
      <c r="C2" s="6" t="s">
        <v>1936</v>
      </c>
      <c r="D2" s="6" t="n">
        <v>7</v>
      </c>
      <c r="E2" s="7"/>
    </row>
    <row r="3" customFormat="false" ht="15" hidden="false" customHeight="true" outlineLevel="0" collapsed="false">
      <c r="A3" s="6" t="s">
        <v>386</v>
      </c>
      <c r="B3" s="6"/>
      <c r="C3" s="6" t="s">
        <v>1936</v>
      </c>
      <c r="D3" s="6" t="n">
        <v>2</v>
      </c>
      <c r="E3" s="7"/>
    </row>
    <row r="4" customFormat="false" ht="15" hidden="false" customHeight="true" outlineLevel="0" collapsed="false">
      <c r="A4" s="6" t="s">
        <v>1937</v>
      </c>
      <c r="B4" s="6"/>
      <c r="C4" s="6" t="s">
        <v>1938</v>
      </c>
      <c r="D4" s="6"/>
      <c r="E4" s="7"/>
    </row>
    <row r="5" customFormat="false" ht="15" hidden="false" customHeight="true" outlineLevel="0" collapsed="false">
      <c r="A5" s="6" t="s">
        <v>1939</v>
      </c>
      <c r="B5" s="6"/>
      <c r="C5" s="6" t="s">
        <v>1938</v>
      </c>
      <c r="D5" s="6"/>
      <c r="E5" s="7"/>
    </row>
    <row r="6" customFormat="false" ht="15" hidden="false" customHeight="true" outlineLevel="0" collapsed="false">
      <c r="A6" s="6" t="s">
        <v>1940</v>
      </c>
      <c r="B6" s="6"/>
      <c r="C6" s="6" t="s">
        <v>1938</v>
      </c>
      <c r="D6" s="6"/>
      <c r="E6" s="7"/>
    </row>
    <row r="7" customFormat="false" ht="15" hidden="false" customHeight="true" outlineLevel="0" collapsed="false">
      <c r="A7" s="6" t="s">
        <v>883</v>
      </c>
      <c r="B7" s="6"/>
      <c r="C7" s="6" t="s">
        <v>1941</v>
      </c>
      <c r="D7" s="6" t="n">
        <v>1</v>
      </c>
      <c r="E7" s="7"/>
    </row>
    <row r="8" customFormat="false" ht="15" hidden="false" customHeight="true" outlineLevel="0" collapsed="false">
      <c r="A8" s="6" t="s">
        <v>612</v>
      </c>
      <c r="B8" s="6"/>
      <c r="C8" s="6" t="s">
        <v>1936</v>
      </c>
      <c r="D8" s="6" t="n">
        <v>3</v>
      </c>
      <c r="E8" s="7"/>
    </row>
    <row r="9" customFormat="false" ht="15" hidden="false" customHeight="true" outlineLevel="0" collapsed="false">
      <c r="A9" s="6" t="s">
        <v>1942</v>
      </c>
      <c r="B9" s="6"/>
      <c r="C9" s="6" t="s">
        <v>1938</v>
      </c>
      <c r="D9" s="6"/>
      <c r="E9" s="7"/>
    </row>
    <row r="10" customFormat="false" ht="15" hidden="false" customHeight="true" outlineLevel="0" collapsed="false">
      <c r="A10" s="6" t="s">
        <v>682</v>
      </c>
      <c r="B10" s="6"/>
      <c r="C10" s="6" t="s">
        <v>1936</v>
      </c>
      <c r="D10" s="6" t="n">
        <v>2</v>
      </c>
      <c r="E10" s="7"/>
    </row>
    <row r="11" customFormat="false" ht="15" hidden="false" customHeight="true" outlineLevel="0" collapsed="false">
      <c r="A11" s="6" t="s">
        <v>424</v>
      </c>
      <c r="B11" s="6"/>
      <c r="C11" s="6" t="s">
        <v>1936</v>
      </c>
      <c r="D11" s="6" t="n">
        <v>10</v>
      </c>
      <c r="E11" s="7"/>
    </row>
    <row r="12" customFormat="false" ht="15" hidden="false" customHeight="true" outlineLevel="0" collapsed="false">
      <c r="A12" s="6" t="s">
        <v>513</v>
      </c>
      <c r="B12" s="6"/>
      <c r="C12" s="6" t="s">
        <v>1936</v>
      </c>
      <c r="D12" s="6" t="n">
        <v>11</v>
      </c>
      <c r="E12" s="7"/>
    </row>
    <row r="13" customFormat="false" ht="15" hidden="false" customHeight="true" outlineLevel="0" collapsed="false">
      <c r="A13" s="6" t="s">
        <v>1943</v>
      </c>
      <c r="B13" s="6"/>
      <c r="C13" s="6" t="s">
        <v>1938</v>
      </c>
      <c r="D13" s="6"/>
      <c r="E13" s="7"/>
    </row>
    <row r="14" customFormat="false" ht="15" hidden="false" customHeight="true" outlineLevel="0" collapsed="false">
      <c r="A14" s="6" t="s">
        <v>893</v>
      </c>
      <c r="B14" s="6"/>
      <c r="C14" s="6" t="s">
        <v>1941</v>
      </c>
      <c r="D14" s="6" t="n">
        <v>1</v>
      </c>
      <c r="E14" s="7"/>
    </row>
    <row r="15" customFormat="false" ht="15" hidden="false" customHeight="true" outlineLevel="0" collapsed="false">
      <c r="A15" s="6" t="s">
        <v>662</v>
      </c>
      <c r="B15" s="6"/>
      <c r="C15" s="6" t="s">
        <v>1936</v>
      </c>
      <c r="D15" s="6" t="n">
        <v>1</v>
      </c>
      <c r="E15" s="7"/>
    </row>
    <row r="16" customFormat="false" ht="15" hidden="false" customHeight="true" outlineLevel="0" collapsed="false">
      <c r="A16" s="6" t="s">
        <v>467</v>
      </c>
      <c r="B16" s="6"/>
      <c r="C16" s="6" t="s">
        <v>1936</v>
      </c>
      <c r="D16" s="6" t="n">
        <v>7</v>
      </c>
      <c r="E16" s="7"/>
    </row>
    <row r="17" customFormat="false" ht="15" hidden="false" customHeight="true" outlineLevel="0" collapsed="false">
      <c r="A17" s="6" t="s">
        <v>1944</v>
      </c>
      <c r="B17" s="6"/>
      <c r="C17" s="6" t="s">
        <v>1938</v>
      </c>
      <c r="D17" s="6"/>
      <c r="E17" s="7"/>
    </row>
    <row r="18" customFormat="false" ht="15" hidden="false" customHeight="true" outlineLevel="0" collapsed="false">
      <c r="A18" s="6" t="s">
        <v>1945</v>
      </c>
      <c r="B18" s="6"/>
      <c r="C18" s="6" t="s">
        <v>1938</v>
      </c>
      <c r="D18" s="6"/>
      <c r="E18" s="7"/>
    </row>
    <row r="19" customFormat="false" ht="15" hidden="false" customHeight="true" outlineLevel="0" collapsed="false">
      <c r="A19" s="6" t="s">
        <v>800</v>
      </c>
      <c r="B19" s="6"/>
      <c r="C19" s="6" t="s">
        <v>1936</v>
      </c>
      <c r="D19" s="6" t="n">
        <v>2</v>
      </c>
      <c r="E19" s="7"/>
    </row>
    <row r="20" customFormat="false" ht="15" hidden="false" customHeight="true" outlineLevel="0" collapsed="false">
      <c r="A20" s="6" t="s">
        <v>878</v>
      </c>
      <c r="B20" s="6"/>
      <c r="C20" s="6" t="s">
        <v>1941</v>
      </c>
      <c r="D20" s="6" t="n">
        <v>1</v>
      </c>
      <c r="E20" s="7"/>
    </row>
    <row r="21" customFormat="false" ht="15" hidden="false" customHeight="true" outlineLevel="0" collapsed="false">
      <c r="A21" s="6" t="s">
        <v>544</v>
      </c>
      <c r="B21" s="6"/>
      <c r="C21" s="6" t="s">
        <v>1936</v>
      </c>
      <c r="D21" s="6" t="n">
        <v>4</v>
      </c>
      <c r="E21" s="7"/>
    </row>
    <row r="22" customFormat="false" ht="15" hidden="false" customHeight="true" outlineLevel="0" collapsed="false">
      <c r="A22" s="6" t="s">
        <v>870</v>
      </c>
      <c r="B22" s="6"/>
      <c r="C22" s="6" t="s">
        <v>1941</v>
      </c>
      <c r="D22" s="6" t="n">
        <v>1</v>
      </c>
      <c r="E22" s="7"/>
    </row>
    <row r="23" customFormat="false" ht="15" hidden="false" customHeight="true" outlineLevel="0" collapsed="false">
      <c r="A23" s="6" t="s">
        <v>690</v>
      </c>
      <c r="B23" s="6"/>
      <c r="C23" s="6" t="s">
        <v>1936</v>
      </c>
      <c r="D23" s="6" t="n">
        <v>1</v>
      </c>
      <c r="E23" s="7"/>
    </row>
    <row r="24" customFormat="false" ht="15" hidden="false" customHeight="true" outlineLevel="0" collapsed="false">
      <c r="A24" s="6" t="s">
        <v>1946</v>
      </c>
      <c r="B24" s="6"/>
      <c r="C24" s="6" t="s">
        <v>1938</v>
      </c>
      <c r="D24" s="6"/>
      <c r="E24" s="7"/>
    </row>
    <row r="25" customFormat="false" ht="15" hidden="false" customHeight="true" outlineLevel="0" collapsed="false">
      <c r="A25" s="6" t="s">
        <v>1947</v>
      </c>
      <c r="B25" s="6"/>
      <c r="C25" s="6" t="s">
        <v>1938</v>
      </c>
      <c r="D25" s="6"/>
      <c r="E25" s="7"/>
    </row>
    <row r="26" customFormat="false" ht="15" hidden="false" customHeight="true" outlineLevel="0" collapsed="false">
      <c r="A26" s="6" t="s">
        <v>888</v>
      </c>
      <c r="B26" s="6"/>
      <c r="C26" s="6" t="s">
        <v>1941</v>
      </c>
      <c r="D26" s="6" t="n">
        <v>1</v>
      </c>
      <c r="E26" s="7"/>
    </row>
    <row r="27" customFormat="false" ht="15" hidden="false" customHeight="true" outlineLevel="0" collapsed="false">
      <c r="A27" s="6" t="s">
        <v>641</v>
      </c>
      <c r="B27" s="6"/>
      <c r="C27" s="6" t="s">
        <v>1936</v>
      </c>
      <c r="D27" s="6" t="n">
        <v>2</v>
      </c>
      <c r="E27" s="7"/>
    </row>
    <row r="28" customFormat="false" ht="15" hidden="false" customHeight="true" outlineLevel="0" collapsed="false">
      <c r="A28" s="6" t="s">
        <v>633</v>
      </c>
      <c r="B28" s="6"/>
      <c r="C28" s="6" t="s">
        <v>1936</v>
      </c>
      <c r="D28" s="6" t="n">
        <v>3</v>
      </c>
      <c r="E28" s="7"/>
    </row>
    <row r="29" customFormat="false" ht="15" hidden="false" customHeight="true" outlineLevel="0" collapsed="false">
      <c r="A29" s="6" t="s">
        <v>1948</v>
      </c>
      <c r="B29" s="6"/>
      <c r="C29" s="6" t="s">
        <v>1938</v>
      </c>
      <c r="D29" s="6"/>
      <c r="E29" s="7"/>
    </row>
    <row r="30" customFormat="false" ht="15" hidden="false" customHeight="true" outlineLevel="0" collapsed="false">
      <c r="A30" s="6" t="s">
        <v>1949</v>
      </c>
      <c r="B30" s="6"/>
      <c r="C30" s="6" t="s">
        <v>1938</v>
      </c>
      <c r="D30" s="6"/>
      <c r="E30" s="7"/>
    </row>
    <row r="31" customFormat="false" ht="15" hidden="false" customHeight="true" outlineLevel="0" collapsed="false">
      <c r="A31" s="6" t="s">
        <v>1950</v>
      </c>
      <c r="B31" s="6"/>
      <c r="C31" s="6" t="s">
        <v>1938</v>
      </c>
      <c r="D31" s="6"/>
      <c r="E31" s="7"/>
    </row>
    <row r="32" customFormat="false" ht="15" hidden="false" customHeight="true" outlineLevel="0" collapsed="false">
      <c r="A32" s="6" t="s">
        <v>396</v>
      </c>
      <c r="B32" s="6"/>
      <c r="C32" s="6" t="s">
        <v>1936</v>
      </c>
      <c r="D32" s="6" t="n">
        <v>22</v>
      </c>
      <c r="E32" s="7"/>
    </row>
    <row r="33" customFormat="false" ht="15" hidden="false" customHeight="true" outlineLevel="0" collapsed="false">
      <c r="A33" s="6" t="s">
        <v>32</v>
      </c>
      <c r="B33" s="6" t="s">
        <v>1951</v>
      </c>
      <c r="C33" s="6" t="s">
        <v>1952</v>
      </c>
      <c r="D33" s="6" t="n">
        <v>56</v>
      </c>
      <c r="E33" s="7"/>
    </row>
  </sheetData>
  <autoFilter ref="A1:E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s>
  <sheetData>
    <row r="1" customFormat="false" ht="15" hidden="false" customHeight="true" outlineLevel="0" collapsed="false">
      <c r="A1" s="10" t="s">
        <v>1953</v>
      </c>
      <c r="B1" s="10" t="s">
        <v>1954</v>
      </c>
    </row>
    <row r="2" customFormat="false" ht="15" hidden="false" customHeight="true" outlineLevel="0" collapsed="false">
      <c r="A2" s="11" t="s">
        <v>1955</v>
      </c>
      <c r="B2" s="11" t="n">
        <f aca="false">COUNTA(Organisations!A2:A2000)</f>
        <v>134</v>
      </c>
    </row>
    <row r="3" customFormat="false" ht="15" hidden="false" customHeight="true" outlineLevel="0" collapsed="false">
      <c r="A3" s="11" t="s">
        <v>1956</v>
      </c>
      <c r="B3" s="11" t="n">
        <f aca="false">COUNTA(Opportunities!A2:A2000)</f>
        <v>135</v>
      </c>
    </row>
    <row r="4" customFormat="false" ht="15" hidden="false" customHeight="true" outlineLevel="0" collapsed="false">
      <c r="A4" s="11" t="s">
        <v>1957</v>
      </c>
      <c r="B4" s="11" t="n">
        <f aca="false">COUNTIF(Opportunities!X2:X2000,"Verified")</f>
        <v>40</v>
      </c>
    </row>
    <row r="5" customFormat="false" ht="15" hidden="false" customHeight="true" outlineLevel="0" collapsed="false">
      <c r="A5" s="11" t="s">
        <v>1958</v>
      </c>
      <c r="B5" s="11" t="n">
        <f aca="false">COUNTIF(Opportunities!X2:X2000,"Unverified")</f>
        <v>9</v>
      </c>
    </row>
    <row r="6" customFormat="false" ht="15" hidden="false" customHeight="true" outlineLevel="0" collapsed="false">
      <c r="A6" s="11" t="s">
        <v>1959</v>
      </c>
      <c r="B6" s="11" t="n">
        <f aca="false">COUNTIF(Opportunities!X2:X2000,"Excluded")</f>
        <v>86</v>
      </c>
    </row>
    <row r="7" customFormat="false" ht="15" hidden="false" customHeight="true" outlineLevel="0" collapsed="false">
      <c r="A7" s="11" t="s">
        <v>1960</v>
      </c>
      <c r="B7" s="11" t="n">
        <f aca="false">COUNTIFS(Opportunities!F2:F2000,"STEM",Opportunities!X2:X2000,"&lt;&gt;Excluded")</f>
        <v>22</v>
      </c>
    </row>
    <row r="8" customFormat="false" ht="15" hidden="false" customHeight="true" outlineLevel="0" collapsed="false">
      <c r="A8" s="11" t="s">
        <v>1961</v>
      </c>
      <c r="B8" s="11" t="n">
        <f aca="false">COUNTIFS(Opportunities!F2:F2000,"Social sciences",Opportunities!X2:X2000,"&lt;&gt;Excluded")</f>
        <v>15</v>
      </c>
    </row>
    <row r="9" customFormat="false" ht="15" hidden="false" customHeight="true" outlineLevel="0" collapsed="false">
      <c r="A9" s="11" t="s">
        <v>1962</v>
      </c>
      <c r="B9" s="11" t="n">
        <f aca="false">COUNTIFS(Opportunities!F2:F2000,"Any",Opportunities!X2:X2000,"&lt;&gt;Excluded")</f>
        <v>12</v>
      </c>
    </row>
    <row r="10" customFormat="false" ht="15" hidden="false" customHeight="true" outlineLevel="0" collapsed="false">
      <c r="A10" s="11" t="s">
        <v>1963</v>
      </c>
      <c r="B10" s="11" t="n">
        <f aca="false">COUNTA(Places!A2:A500)</f>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2026-10-09T22:36:51Z</dcterms:created>
  <dc:creator>openpyxl</dc:creator>
  <dc:description/>
  <dc:language>en-US</dc:language>
  <cp:lastModifiedBy/>
  <dcterms:modified xsi:type="dcterms:W3CDTF">2026-10-09T22:40:33Z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